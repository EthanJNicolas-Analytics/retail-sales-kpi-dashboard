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mc:AlternateContent xmlns:mc="http://schemas.openxmlformats.org/markup-compatibility/2006">
    <mc:Choice Requires="x15">
      <x15ac:absPath xmlns:x15ac="http://schemas.microsoft.com/office/spreadsheetml/2010/11/ac" url="https://d.docs.live.net/C50879B480EC74BB/"/>
    </mc:Choice>
  </mc:AlternateContent>
  <xr:revisionPtr revIDLastSave="0" documentId="8_{5FD263C8-DD8E-4681-B0F6-936AAB94D978}" xr6:coauthVersionLast="47" xr6:coauthVersionMax="47" xr10:uidLastSave="{00000000-0000-0000-0000-000000000000}"/>
  <bookViews>
    <workbookView xWindow="-110" yWindow="-110" windowWidth="19420" windowHeight="11500" firstSheet="2" activeTab="2" xr2:uid="{00000000-000D-0000-FFFF-FFFF00000000}"/>
  </bookViews>
  <sheets>
    <sheet name="Raw_Data" sheetId="1" r:id="rId1"/>
    <sheet name="Pivot_Tables" sheetId="2" r:id="rId2"/>
    <sheet name="Dashboard" sheetId="3" r:id="rId3"/>
  </sheets>
  <definedNames>
    <definedName name="Slicer_Category">#N/A</definedName>
    <definedName name="Slicer_Region">#N/A</definedName>
    <definedName name="Slicer_Year">#N/A</definedName>
  </definedNames>
  <calcPr calcId="191028"/>
  <pivotCaches>
    <pivotCache cacheId="4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B5" i="3"/>
  <c r="B4" i="3"/>
  <c r="B3" i="3"/>
  <c r="B2" i="3"/>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alcChain>
</file>

<file path=xl/sharedStrings.xml><?xml version="1.0" encoding="utf-8"?>
<sst xmlns="http://schemas.openxmlformats.org/spreadsheetml/2006/main" count="4066" uniqueCount="1320">
  <si>
    <t>Order ID</t>
  </si>
  <si>
    <t>Order Date</t>
  </si>
  <si>
    <t>Customer Name</t>
  </si>
  <si>
    <t>Region</t>
  </si>
  <si>
    <t>Category</t>
  </si>
  <si>
    <t>Product</t>
  </si>
  <si>
    <t>Sales</t>
  </si>
  <si>
    <t>Profit</t>
  </si>
  <si>
    <t>Quantity</t>
  </si>
  <si>
    <t>Month</t>
  </si>
  <si>
    <t>Year</t>
  </si>
  <si>
    <t xml:space="preserve">Profit Margin </t>
  </si>
  <si>
    <t>ORD-100001</t>
  </si>
  <si>
    <t>Matthew Zimmerman</t>
  </si>
  <si>
    <t>East</t>
  </si>
  <si>
    <t>Grocery</t>
  </si>
  <si>
    <t>Protein Bars (12pk)</t>
  </si>
  <si>
    <t>ORD-100002</t>
  </si>
  <si>
    <t>Dennis Allen</t>
  </si>
  <si>
    <t>South</t>
  </si>
  <si>
    <t>Trail Mix</t>
  </si>
  <si>
    <t>ORD-100003</t>
  </si>
  <si>
    <t>Linda Thomas</t>
  </si>
  <si>
    <t>North</t>
  </si>
  <si>
    <t>Electronics</t>
  </si>
  <si>
    <t>Bluetooth Headphones</t>
  </si>
  <si>
    <t>ORD-100004</t>
  </si>
  <si>
    <t>Matthew Allen</t>
  </si>
  <si>
    <t>Central</t>
  </si>
  <si>
    <t>Pasta Sauce</t>
  </si>
  <si>
    <t>ORD-100005</t>
  </si>
  <si>
    <t>Emily Taylor</t>
  </si>
  <si>
    <t>West</t>
  </si>
  <si>
    <t>Home &amp; Kitchen</t>
  </si>
  <si>
    <t>Cookware Set</t>
  </si>
  <si>
    <t>ORD-100006</t>
  </si>
  <si>
    <t>Daniel Miller</t>
  </si>
  <si>
    <t>Office Supplies</t>
  </si>
  <si>
    <t>Notebook Pack</t>
  </si>
  <si>
    <t>ORD-100007</t>
  </si>
  <si>
    <t>Jennifer Smith</t>
  </si>
  <si>
    <t>Apparel</t>
  </si>
  <si>
    <t>Winter Jacket</t>
  </si>
  <si>
    <t>ORD-100008</t>
  </si>
  <si>
    <t>David Davis</t>
  </si>
  <si>
    <t>ORD-100009</t>
  </si>
  <si>
    <t>Kaden Smith</t>
  </si>
  <si>
    <t>Desk Organizer</t>
  </si>
  <si>
    <t>ORD-100010</t>
  </si>
  <si>
    <t>Rita Davis</t>
  </si>
  <si>
    <t>ORD-100011</t>
  </si>
  <si>
    <t>Jennifer Brown</t>
  </si>
  <si>
    <t>Vacuum Cleaner</t>
  </si>
  <si>
    <t>ORD-100012</t>
  </si>
  <si>
    <t>Elizabeth Thompson</t>
  </si>
  <si>
    <t>Smart Speaker</t>
  </si>
  <si>
    <t>ORD-100013</t>
  </si>
  <si>
    <t>Nancy Harris</t>
  </si>
  <si>
    <t>Denim Jeans</t>
  </si>
  <si>
    <t>ORD-100014</t>
  </si>
  <si>
    <t>Richard Johnson</t>
  </si>
  <si>
    <t>ORD-100015</t>
  </si>
  <si>
    <t>Jessica White</t>
  </si>
  <si>
    <t>Coffee Maker</t>
  </si>
  <si>
    <t>ORD-100016</t>
  </si>
  <si>
    <t>Linda Carpenter</t>
  </si>
  <si>
    <t>ORD-100017</t>
  </si>
  <si>
    <t>Daniel Ruiz</t>
  </si>
  <si>
    <t>Rain Boots</t>
  </si>
  <si>
    <t>ORD-100018</t>
  </si>
  <si>
    <t>Emily Harris</t>
  </si>
  <si>
    <t>Wool Sweater</t>
  </si>
  <si>
    <t>ORD-100019</t>
  </si>
  <si>
    <t>Linda Brown</t>
  </si>
  <si>
    <t>ORD-100020</t>
  </si>
  <si>
    <t>Marie Brown</t>
  </si>
  <si>
    <t>ORD-100021</t>
  </si>
  <si>
    <t>Joseph Jackson</t>
  </si>
  <si>
    <t>ORD-100022</t>
  </si>
  <si>
    <t>William Carpenter</t>
  </si>
  <si>
    <t>ORD-100023</t>
  </si>
  <si>
    <t>Sarah Davis</t>
  </si>
  <si>
    <t>Breakfast Cereal</t>
  </si>
  <si>
    <t>ORD-100024</t>
  </si>
  <si>
    <t>Jessica Zimmerman</t>
  </si>
  <si>
    <t>Ink Cartridge</t>
  </si>
  <si>
    <t>ORD-100025</t>
  </si>
  <si>
    <t>David Zimmerman</t>
  </si>
  <si>
    <t>Portable Charger</t>
  </si>
  <si>
    <t>ORD-100026</t>
  </si>
  <si>
    <t>Nancy Jackson</t>
  </si>
  <si>
    <t>ORD-100027</t>
  </si>
  <si>
    <t>Marie Martin</t>
  </si>
  <si>
    <t>ORD-100028</t>
  </si>
  <si>
    <t>Karen Allen</t>
  </si>
  <si>
    <t>ORD-100029</t>
  </si>
  <si>
    <t>Joseph Martin</t>
  </si>
  <si>
    <t>USB-C Cable</t>
  </si>
  <si>
    <t>ORD-100030</t>
  </si>
  <si>
    <t>Patricia Thomas</t>
  </si>
  <si>
    <t>ORD-100031</t>
  </si>
  <si>
    <t>Richard Davis</t>
  </si>
  <si>
    <t>ORD-100032</t>
  </si>
  <si>
    <t>Patricia Thompson</t>
  </si>
  <si>
    <t>ORD-100033</t>
  </si>
  <si>
    <t>Betty Harris</t>
  </si>
  <si>
    <t>ORD-100034</t>
  </si>
  <si>
    <t>Richard Jackson</t>
  </si>
  <si>
    <t>ORD-100035</t>
  </si>
  <si>
    <t>Olive Oil</t>
  </si>
  <si>
    <t>ORD-100036</t>
  </si>
  <si>
    <t>Mark Ruiz</t>
  </si>
  <si>
    <t>ORD-100037</t>
  </si>
  <si>
    <t>Mark Moore</t>
  </si>
  <si>
    <t>ORD-100038</t>
  </si>
  <si>
    <t>Betty Ruiz</t>
  </si>
  <si>
    <t>ORD-100039</t>
  </si>
  <si>
    <t>Ashley Brown</t>
  </si>
  <si>
    <t>ORD-100040</t>
  </si>
  <si>
    <t>Jennifer Miller</t>
  </si>
  <si>
    <t>ORD-100041</t>
  </si>
  <si>
    <t>Jennifer White</t>
  </si>
  <si>
    <t>ORD-100042</t>
  </si>
  <si>
    <t>Joseph Davis</t>
  </si>
  <si>
    <t>ORD-100043</t>
  </si>
  <si>
    <t>Matthew Taylor</t>
  </si>
  <si>
    <t>ORD-100044</t>
  </si>
  <si>
    <t>Betty Smith</t>
  </si>
  <si>
    <t>ORD-100045</t>
  </si>
  <si>
    <t>Nancy Anderson</t>
  </si>
  <si>
    <t>ORD-100046</t>
  </si>
  <si>
    <t>Betty Johnson</t>
  </si>
  <si>
    <t>ORD-100047</t>
  </si>
  <si>
    <t>Thomas Wilson</t>
  </si>
  <si>
    <t>Wireless Mouse</t>
  </si>
  <si>
    <t>ORD-100048</t>
  </si>
  <si>
    <t>Patricia White</t>
  </si>
  <si>
    <t>ORD-100049</t>
  </si>
  <si>
    <t>Linda Jackson</t>
  </si>
  <si>
    <t>ORD-100050</t>
  </si>
  <si>
    <t>David Jackson</t>
  </si>
  <si>
    <t>ORD-100051</t>
  </si>
  <si>
    <t>Marie Harris</t>
  </si>
  <si>
    <t>ORD-100052</t>
  </si>
  <si>
    <t>Karen Wilson</t>
  </si>
  <si>
    <t>ORD-100053</t>
  </si>
  <si>
    <t>William Davis</t>
  </si>
  <si>
    <t>ORD-100054</t>
  </si>
  <si>
    <t>Linda Davis</t>
  </si>
  <si>
    <t>ORD-100055</t>
  </si>
  <si>
    <t>James Allen</t>
  </si>
  <si>
    <t>ORD-100056</t>
  </si>
  <si>
    <t>Charles Zimmerman</t>
  </si>
  <si>
    <t>ORD-100057</t>
  </si>
  <si>
    <t>Jessica Harris</t>
  </si>
  <si>
    <t>Stapler</t>
  </si>
  <si>
    <t>ORD-100058</t>
  </si>
  <si>
    <t>Nancy Taylor</t>
  </si>
  <si>
    <t>Running Shoes</t>
  </si>
  <si>
    <t>ORD-100059</t>
  </si>
  <si>
    <t>Thomas Anderson</t>
  </si>
  <si>
    <t>ORD-100060</t>
  </si>
  <si>
    <t>Daniel Taylor</t>
  </si>
  <si>
    <t>ORD-100061</t>
  </si>
  <si>
    <t>ORD-100062</t>
  </si>
  <si>
    <t>Linda Ruiz</t>
  </si>
  <si>
    <t>ORD-100063</t>
  </si>
  <si>
    <t>Karen Alvarado</t>
  </si>
  <si>
    <t>ORD-100064</t>
  </si>
  <si>
    <t>Charles Smith</t>
  </si>
  <si>
    <t>Blender</t>
  </si>
  <si>
    <t>ORD-100065</t>
  </si>
  <si>
    <t>Sandra Martin</t>
  </si>
  <si>
    <t>ORD-100066</t>
  </si>
  <si>
    <t>Paul Jackson</t>
  </si>
  <si>
    <t>ORD-100067</t>
  </si>
  <si>
    <t>Betty White</t>
  </si>
  <si>
    <t>ORD-100068</t>
  </si>
  <si>
    <t>ORD-100069</t>
  </si>
  <si>
    <t>Dennis Jackson</t>
  </si>
  <si>
    <t>ORD-100070</t>
  </si>
  <si>
    <t>Mark Davis</t>
  </si>
  <si>
    <t>ORD-100071</t>
  </si>
  <si>
    <t>Thomas Jackson</t>
  </si>
  <si>
    <t>ORD-100072</t>
  </si>
  <si>
    <t>Jennifer Jackson</t>
  </si>
  <si>
    <t>ORD-100073</t>
  </si>
  <si>
    <t>Robert Brown</t>
  </si>
  <si>
    <t>ORD-100074</t>
  </si>
  <si>
    <t>James Jackson</t>
  </si>
  <si>
    <t>ORD-100075</t>
  </si>
  <si>
    <t>Jennifer Johnson</t>
  </si>
  <si>
    <t>ORD-100076</t>
  </si>
  <si>
    <t>Rita Jackson</t>
  </si>
  <si>
    <t>Printer Paper</t>
  </si>
  <si>
    <t>ORD-100077</t>
  </si>
  <si>
    <t>ORD-100078</t>
  </si>
  <si>
    <t>Kaden Brown</t>
  </si>
  <si>
    <t>ORD-100079</t>
  </si>
  <si>
    <t>William Thomas</t>
  </si>
  <si>
    <t>ORD-100080</t>
  </si>
  <si>
    <t>Daniel Smith</t>
  </si>
  <si>
    <t>ORD-100081</t>
  </si>
  <si>
    <t>William Thompson</t>
  </si>
  <si>
    <t>ORD-100082</t>
  </si>
  <si>
    <t>ORD-100083</t>
  </si>
  <si>
    <t>Kaden Carpenter</t>
  </si>
  <si>
    <t>ORD-100084</t>
  </si>
  <si>
    <t>Charles Miller</t>
  </si>
  <si>
    <t>ORD-100085</t>
  </si>
  <si>
    <t>Betty Wilson</t>
  </si>
  <si>
    <t>ORD-100086</t>
  </si>
  <si>
    <t>Daniel Davis</t>
  </si>
  <si>
    <t>ORD-100087</t>
  </si>
  <si>
    <t>Elizabeth Jackson</t>
  </si>
  <si>
    <t>ORD-100088</t>
  </si>
  <si>
    <t>Charles Jackson</t>
  </si>
  <si>
    <t>ORD-100089</t>
  </si>
  <si>
    <t>ORD-100090</t>
  </si>
  <si>
    <t>Jennifer Thompson</t>
  </si>
  <si>
    <t>ORD-100091</t>
  </si>
  <si>
    <t>Susan Alvarado</t>
  </si>
  <si>
    <t>ORD-100092</t>
  </si>
  <si>
    <t>Paul Alvarado</t>
  </si>
  <si>
    <t>ORD-100093</t>
  </si>
  <si>
    <t>ORD-100094</t>
  </si>
  <si>
    <t>Ashley Allen</t>
  </si>
  <si>
    <t>ORD-100095</t>
  </si>
  <si>
    <t>Betty Miller</t>
  </si>
  <si>
    <t>ORD-100096</t>
  </si>
  <si>
    <t>David Thomas</t>
  </si>
  <si>
    <t>ORD-100097</t>
  </si>
  <si>
    <t>Betty Jackson</t>
  </si>
  <si>
    <t>ORD-100098</t>
  </si>
  <si>
    <t>Ashley Alvarado</t>
  </si>
  <si>
    <t>ORD-100099</t>
  </si>
  <si>
    <t>Kaden Jackson</t>
  </si>
  <si>
    <t>ORD-100100</t>
  </si>
  <si>
    <t>David Wilson</t>
  </si>
  <si>
    <t>ORD-100101</t>
  </si>
  <si>
    <t>Betty Allen</t>
  </si>
  <si>
    <t>ORD-100102</t>
  </si>
  <si>
    <t>Sandra Carpenter</t>
  </si>
  <si>
    <t>ORD-100103</t>
  </si>
  <si>
    <t>Sarah Johnson</t>
  </si>
  <si>
    <t>ORD-100104</t>
  </si>
  <si>
    <t>ORD-100105</t>
  </si>
  <si>
    <t>Jennifer Martin</t>
  </si>
  <si>
    <t>ORD-100106</t>
  </si>
  <si>
    <t>Ashley Jackson</t>
  </si>
  <si>
    <t>ORD-100107</t>
  </si>
  <si>
    <t>ORD-100108</t>
  </si>
  <si>
    <t>Karen Moore</t>
  </si>
  <si>
    <t>ORD-100109</t>
  </si>
  <si>
    <t>Thomas Alvarado</t>
  </si>
  <si>
    <t>ORD-100110</t>
  </si>
  <si>
    <t>Michael Anderson</t>
  </si>
  <si>
    <t>ORD-100111</t>
  </si>
  <si>
    <t>Emily Jackson</t>
  </si>
  <si>
    <t>ORD-100112</t>
  </si>
  <si>
    <t>Ashley Taylor</t>
  </si>
  <si>
    <t>ORD-100113</t>
  </si>
  <si>
    <t>Robert Martin</t>
  </si>
  <si>
    <t>ORD-100114</t>
  </si>
  <si>
    <t>Emily Thompson</t>
  </si>
  <si>
    <t>ORD-100115</t>
  </si>
  <si>
    <t>Patricia Jackson</t>
  </si>
  <si>
    <t>ORD-100116</t>
  </si>
  <si>
    <t>Jessica Anderson</t>
  </si>
  <si>
    <t>ORD-100117</t>
  </si>
  <si>
    <t>Marie Moore</t>
  </si>
  <si>
    <t>ORD-100118</t>
  </si>
  <si>
    <t>Jennifer Carpenter</t>
  </si>
  <si>
    <t>ORD-100119</t>
  </si>
  <si>
    <t>Sandra Wilson</t>
  </si>
  <si>
    <t>ORD-100120</t>
  </si>
  <si>
    <t>Paul Brown</t>
  </si>
  <si>
    <t>ORD-100121</t>
  </si>
  <si>
    <t>Robert Johnson</t>
  </si>
  <si>
    <t>ORD-100122</t>
  </si>
  <si>
    <t>Dennis Johnson</t>
  </si>
  <si>
    <t>ORD-100123</t>
  </si>
  <si>
    <t>Richard Martin</t>
  </si>
  <si>
    <t>ORD-100124</t>
  </si>
  <si>
    <t>ORD-100125</t>
  </si>
  <si>
    <t>Kaden Allen</t>
  </si>
  <si>
    <t>ORD-100126</t>
  </si>
  <si>
    <t>David Thompson</t>
  </si>
  <si>
    <t>ORD-100127</t>
  </si>
  <si>
    <t>Thomas Harris</t>
  </si>
  <si>
    <t>ORD-100128</t>
  </si>
  <si>
    <t>Michael Davis</t>
  </si>
  <si>
    <t>ORD-100129</t>
  </si>
  <si>
    <t>Sandra Ruiz</t>
  </si>
  <si>
    <t>ORD-100130</t>
  </si>
  <si>
    <t>Daniel Anderson</t>
  </si>
  <si>
    <t>ORD-100131</t>
  </si>
  <si>
    <t>ORD-100132</t>
  </si>
  <si>
    <t>Daniel Thompson</t>
  </si>
  <si>
    <t>ORD-100133</t>
  </si>
  <si>
    <t>ORD-100134</t>
  </si>
  <si>
    <t>Rita Zimmerman</t>
  </si>
  <si>
    <t>ORD-100135</t>
  </si>
  <si>
    <t>Daniel Martin</t>
  </si>
  <si>
    <t>ORD-100136</t>
  </si>
  <si>
    <t>William Anderson</t>
  </si>
  <si>
    <t>ORD-100137</t>
  </si>
  <si>
    <t>Patricia Martin</t>
  </si>
  <si>
    <t>Air Fryer</t>
  </si>
  <si>
    <t>ORD-100138</t>
  </si>
  <si>
    <t>Patricia Smith</t>
  </si>
  <si>
    <t>ORD-100139</t>
  </si>
  <si>
    <t>David Harris</t>
  </si>
  <si>
    <t>ORD-100140</t>
  </si>
  <si>
    <t>Emily Allen</t>
  </si>
  <si>
    <t>ORD-100141</t>
  </si>
  <si>
    <t>Michael Johnson</t>
  </si>
  <si>
    <t>ORD-100142</t>
  </si>
  <si>
    <t>Richard Allen</t>
  </si>
  <si>
    <t>ORD-100143</t>
  </si>
  <si>
    <t>Richard White</t>
  </si>
  <si>
    <t>ORD-100144</t>
  </si>
  <si>
    <t>Matthew Ruiz</t>
  </si>
  <si>
    <t>ORD-100145</t>
  </si>
  <si>
    <t>Susan Thomas</t>
  </si>
  <si>
    <t>ORD-100146</t>
  </si>
  <si>
    <t>Michael Ruiz</t>
  </si>
  <si>
    <t>ORD-100147</t>
  </si>
  <si>
    <t>ORD-100148</t>
  </si>
  <si>
    <t>Richard Taylor</t>
  </si>
  <si>
    <t>ORD-100149</t>
  </si>
  <si>
    <t>Rita Carpenter</t>
  </si>
  <si>
    <t>ORD-100150</t>
  </si>
  <si>
    <t>ORD-100151</t>
  </si>
  <si>
    <t>Marie Wilson</t>
  </si>
  <si>
    <t>ORD-100152</t>
  </si>
  <si>
    <t>Ashley Ruiz</t>
  </si>
  <si>
    <t>ORD-100153</t>
  </si>
  <si>
    <t>Kaden Miller</t>
  </si>
  <si>
    <t>ORD-100154</t>
  </si>
  <si>
    <t>Kaden Anderson</t>
  </si>
  <si>
    <t>ORD-100155</t>
  </si>
  <si>
    <t>James Brown</t>
  </si>
  <si>
    <t>ORD-100156</t>
  </si>
  <si>
    <t>ORD-100157</t>
  </si>
  <si>
    <t>Betty Thomas</t>
  </si>
  <si>
    <t>ORD-100158</t>
  </si>
  <si>
    <t>Jessica Brown</t>
  </si>
  <si>
    <t>ORD-100159</t>
  </si>
  <si>
    <t>ORD-100160</t>
  </si>
  <si>
    <t>Marie Jackson</t>
  </si>
  <si>
    <t>ORD-100161</t>
  </si>
  <si>
    <t>Robert Thomas</t>
  </si>
  <si>
    <t>ORD-100162</t>
  </si>
  <si>
    <t>Emily Zimmerman</t>
  </si>
  <si>
    <t>ORD-100163</t>
  </si>
  <si>
    <t>Michael Alvarado</t>
  </si>
  <si>
    <t>ORD-100164</t>
  </si>
  <si>
    <t>Daniel Jackson</t>
  </si>
  <si>
    <t>ORD-100165</t>
  </si>
  <si>
    <t>Richard Anderson</t>
  </si>
  <si>
    <t>ORD-100166</t>
  </si>
  <si>
    <t>Matthew Jackson</t>
  </si>
  <si>
    <t>ORD-100167</t>
  </si>
  <si>
    <t>ORD-100168</t>
  </si>
  <si>
    <t>ORD-100169</t>
  </si>
  <si>
    <t>Sandra Allen</t>
  </si>
  <si>
    <t>ORD-100170</t>
  </si>
  <si>
    <t>ORD-100171</t>
  </si>
  <si>
    <t>Marie Miller</t>
  </si>
  <si>
    <t>ORD-100172</t>
  </si>
  <si>
    <t>Susan Davis</t>
  </si>
  <si>
    <t>ORD-100173</t>
  </si>
  <si>
    <t>Robert Alvarado</t>
  </si>
  <si>
    <t>ORD-100174</t>
  </si>
  <si>
    <t>Susan Jackson</t>
  </si>
  <si>
    <t>ORD-100175</t>
  </si>
  <si>
    <t>Paul Johnson</t>
  </si>
  <si>
    <t>ORD-100176</t>
  </si>
  <si>
    <t>Charles Thomas</t>
  </si>
  <si>
    <t>ORD-100177</t>
  </si>
  <si>
    <t>Kaden Taylor</t>
  </si>
  <si>
    <t>ORD-100178</t>
  </si>
  <si>
    <t>Rita Allen</t>
  </si>
  <si>
    <t>ORD-100179</t>
  </si>
  <si>
    <t>William Moore</t>
  </si>
  <si>
    <t>ORD-100180</t>
  </si>
  <si>
    <t>ORD-100181</t>
  </si>
  <si>
    <t>ORD-100182</t>
  </si>
  <si>
    <t>Nancy Moore</t>
  </si>
  <si>
    <t>ORD-100183</t>
  </si>
  <si>
    <t>Sarah Moore</t>
  </si>
  <si>
    <t>ORD-100184</t>
  </si>
  <si>
    <t>Sandra Harris</t>
  </si>
  <si>
    <t>ORD-100185</t>
  </si>
  <si>
    <t>Elizabeth Anderson</t>
  </si>
  <si>
    <t>ORD-100186</t>
  </si>
  <si>
    <t>Mark Harris</t>
  </si>
  <si>
    <t>ORD-100187</t>
  </si>
  <si>
    <t>Rita Miller</t>
  </si>
  <si>
    <t>ORD-100188</t>
  </si>
  <si>
    <t>Robert Smith</t>
  </si>
  <si>
    <t>ORD-100189</t>
  </si>
  <si>
    <t>Rita Johnson</t>
  </si>
  <si>
    <t>ORD-100190</t>
  </si>
  <si>
    <t>ORD-100191</t>
  </si>
  <si>
    <t>Jessica Miller</t>
  </si>
  <si>
    <t>ORD-100192</t>
  </si>
  <si>
    <t>James Wilson</t>
  </si>
  <si>
    <t>ORD-100193</t>
  </si>
  <si>
    <t>Richard Harris</t>
  </si>
  <si>
    <t>ORD-100194</t>
  </si>
  <si>
    <t>ORD-100195</t>
  </si>
  <si>
    <t>Susan White</t>
  </si>
  <si>
    <t>ORD-100196</t>
  </si>
  <si>
    <t>James Martin</t>
  </si>
  <si>
    <t>ORD-100197</t>
  </si>
  <si>
    <t>ORD-100198</t>
  </si>
  <si>
    <t>Joseph Harris</t>
  </si>
  <si>
    <t>ORD-100199</t>
  </si>
  <si>
    <t>Nancy Thompson</t>
  </si>
  <si>
    <t>ORD-100200</t>
  </si>
  <si>
    <t>James Thompson</t>
  </si>
  <si>
    <t>ORD-100201</t>
  </si>
  <si>
    <t>William Ruiz</t>
  </si>
  <si>
    <t>ORD-100202</t>
  </si>
  <si>
    <t>ORD-100203</t>
  </si>
  <si>
    <t>Nancy Alvarado</t>
  </si>
  <si>
    <t>ORD-100204</t>
  </si>
  <si>
    <t>Joseph Brown</t>
  </si>
  <si>
    <t>ORD-100205</t>
  </si>
  <si>
    <t>ORD-100206</t>
  </si>
  <si>
    <t>James Anderson</t>
  </si>
  <si>
    <t>ORD-100207</t>
  </si>
  <si>
    <t>ORD-100208</t>
  </si>
  <si>
    <t>Thomas Davis</t>
  </si>
  <si>
    <t>ORD-100209</t>
  </si>
  <si>
    <t>ORD-100210</t>
  </si>
  <si>
    <t>ORD-100211</t>
  </si>
  <si>
    <t>Charles Allen</t>
  </si>
  <si>
    <t>ORD-100212</t>
  </si>
  <si>
    <t>Charles Davis</t>
  </si>
  <si>
    <t>ORD-100213</t>
  </si>
  <si>
    <t>ORD-100214</t>
  </si>
  <si>
    <t>ORD-100215</t>
  </si>
  <si>
    <t>ORD-100216</t>
  </si>
  <si>
    <t>Sandra Jackson</t>
  </si>
  <si>
    <t>ORD-100217</t>
  </si>
  <si>
    <t>ORD-100218</t>
  </si>
  <si>
    <t>ORD-100219</t>
  </si>
  <si>
    <t>Sarah Thompson</t>
  </si>
  <si>
    <t>ORD-100220</t>
  </si>
  <si>
    <t>Susan Wilson</t>
  </si>
  <si>
    <t>ORD-100221</t>
  </si>
  <si>
    <t>Betty Martin</t>
  </si>
  <si>
    <t>ORD-100222</t>
  </si>
  <si>
    <t>David White</t>
  </si>
  <si>
    <t>ORD-100223</t>
  </si>
  <si>
    <t>ORD-100224</t>
  </si>
  <si>
    <t>ORD-100225</t>
  </si>
  <si>
    <t>Mark White</t>
  </si>
  <si>
    <t>ORD-100226</t>
  </si>
  <si>
    <t>Charles Martin</t>
  </si>
  <si>
    <t>ORD-100227</t>
  </si>
  <si>
    <t>Joseph Carpenter</t>
  </si>
  <si>
    <t>ORD-100228</t>
  </si>
  <si>
    <t>Joseph Allen</t>
  </si>
  <si>
    <t>ORD-100229</t>
  </si>
  <si>
    <t>ORD-100230</t>
  </si>
  <si>
    <t>William Taylor</t>
  </si>
  <si>
    <t>ORD-100231</t>
  </si>
  <si>
    <t>ORD-100232</t>
  </si>
  <si>
    <t>Elizabeth Harris</t>
  </si>
  <si>
    <t>ORD-100233</t>
  </si>
  <si>
    <t>Marie Anderson</t>
  </si>
  <si>
    <t>ORD-100234</t>
  </si>
  <si>
    <t>Nancy Carpenter</t>
  </si>
  <si>
    <t>ORD-100235</t>
  </si>
  <si>
    <t>Patricia Brown</t>
  </si>
  <si>
    <t>ORD-100236</t>
  </si>
  <si>
    <t>Richard Brown</t>
  </si>
  <si>
    <t>ORD-100237</t>
  </si>
  <si>
    <t>Jessica Jackson</t>
  </si>
  <si>
    <t>ORD-100238</t>
  </si>
  <si>
    <t>Sarah Harris</t>
  </si>
  <si>
    <t>ORD-100239</t>
  </si>
  <si>
    <t>ORD-100240</t>
  </si>
  <si>
    <t>Ashley Moore</t>
  </si>
  <si>
    <t>ORD-100241</t>
  </si>
  <si>
    <t>ORD-100242</t>
  </si>
  <si>
    <t>Betty Alvarado</t>
  </si>
  <si>
    <t>ORD-100243</t>
  </si>
  <si>
    <t>ORD-100244</t>
  </si>
  <si>
    <t>Daniel Wilson</t>
  </si>
  <si>
    <t>ORD-100245</t>
  </si>
  <si>
    <t>Jessica Martin</t>
  </si>
  <si>
    <t>ORD-100246</t>
  </si>
  <si>
    <t>Susan Harris</t>
  </si>
  <si>
    <t>ORD-100247</t>
  </si>
  <si>
    <t>Sarah Ruiz</t>
  </si>
  <si>
    <t>ORD-100248</t>
  </si>
  <si>
    <t>Paul Carpenter</t>
  </si>
  <si>
    <t>ORD-100249</t>
  </si>
  <si>
    <t>Marie Thompson</t>
  </si>
  <si>
    <t>ORD-100250</t>
  </si>
  <si>
    <t>Betty Davis</t>
  </si>
  <si>
    <t>ORD-100251</t>
  </si>
  <si>
    <t>Matthew Alvarado</t>
  </si>
  <si>
    <t>ORD-100252</t>
  </si>
  <si>
    <t>Kaden Moore</t>
  </si>
  <si>
    <t>ORD-100253</t>
  </si>
  <si>
    <t>Ashley Carpenter</t>
  </si>
  <si>
    <t>ORD-100254</t>
  </si>
  <si>
    <t>ORD-100255</t>
  </si>
  <si>
    <t>Mark Martin</t>
  </si>
  <si>
    <t>ORD-100256</t>
  </si>
  <si>
    <t>Dennis Smith</t>
  </si>
  <si>
    <t>ORD-100257</t>
  </si>
  <si>
    <t>ORD-100258</t>
  </si>
  <si>
    <t>Matthew Anderson</t>
  </si>
  <si>
    <t>ORD-100259</t>
  </si>
  <si>
    <t>Dennis Davis</t>
  </si>
  <si>
    <t>ORD-100260</t>
  </si>
  <si>
    <t>David Allen</t>
  </si>
  <si>
    <t>ORD-100261</t>
  </si>
  <si>
    <t>Betty Taylor</t>
  </si>
  <si>
    <t>ORD-100262</t>
  </si>
  <si>
    <t>ORD-100263</t>
  </si>
  <si>
    <t>Kaden Thompson</t>
  </si>
  <si>
    <t>ORD-100264</t>
  </si>
  <si>
    <t>Mark Brown</t>
  </si>
  <si>
    <t>ORD-100265</t>
  </si>
  <si>
    <t>Sarah Anderson</t>
  </si>
  <si>
    <t>ORD-100266</t>
  </si>
  <si>
    <t>Karen Thompson</t>
  </si>
  <si>
    <t>ORD-100267</t>
  </si>
  <si>
    <t>ORD-100268</t>
  </si>
  <si>
    <t>ORD-100269</t>
  </si>
  <si>
    <t>Michael Taylor</t>
  </si>
  <si>
    <t>ORD-100270</t>
  </si>
  <si>
    <t>ORD-100271</t>
  </si>
  <si>
    <t>Paul Anderson</t>
  </si>
  <si>
    <t>ORD-100272</t>
  </si>
  <si>
    <t>Kaden Thomas</t>
  </si>
  <si>
    <t>ORD-100273</t>
  </si>
  <si>
    <t>ORD-100274</t>
  </si>
  <si>
    <t>Karen Carpenter</t>
  </si>
  <si>
    <t>ORD-100275</t>
  </si>
  <si>
    <t>ORD-100276</t>
  </si>
  <si>
    <t>Charles White</t>
  </si>
  <si>
    <t>ORD-100277</t>
  </si>
  <si>
    <t>Paul Ruiz</t>
  </si>
  <si>
    <t>ORD-100278</t>
  </si>
  <si>
    <t>William Wilson</t>
  </si>
  <si>
    <t>ORD-100279</t>
  </si>
  <si>
    <t>ORD-100280</t>
  </si>
  <si>
    <t>ORD-100281</t>
  </si>
  <si>
    <t>James Davis</t>
  </si>
  <si>
    <t>ORD-100282</t>
  </si>
  <si>
    <t>ORD-100283</t>
  </si>
  <si>
    <t>Karen Johnson</t>
  </si>
  <si>
    <t>ORD-100284</t>
  </si>
  <si>
    <t>ORD-100285</t>
  </si>
  <si>
    <t>Jessica Johnson</t>
  </si>
  <si>
    <t>ORD-100286</t>
  </si>
  <si>
    <t>Susan Ruiz</t>
  </si>
  <si>
    <t>ORD-100287</t>
  </si>
  <si>
    <t>Paul Thomas</t>
  </si>
  <si>
    <t>ORD-100288</t>
  </si>
  <si>
    <t>Sarah Thomas</t>
  </si>
  <si>
    <t>ORD-100289</t>
  </si>
  <si>
    <t>Paul Moore</t>
  </si>
  <si>
    <t>ORD-100290</t>
  </si>
  <si>
    <t>Daniel Brown</t>
  </si>
  <si>
    <t>ORD-100291</t>
  </si>
  <si>
    <t>ORD-100292</t>
  </si>
  <si>
    <t>Karen Ruiz</t>
  </si>
  <si>
    <t>ORD-100293</t>
  </si>
  <si>
    <t>ORD-100294</t>
  </si>
  <si>
    <t>Emily Carpenter</t>
  </si>
  <si>
    <t>ORD-100295</t>
  </si>
  <si>
    <t>ORD-100296</t>
  </si>
  <si>
    <t>ORD-100297</t>
  </si>
  <si>
    <t>ORD-100298</t>
  </si>
  <si>
    <t>Michael Miller</t>
  </si>
  <si>
    <t>ORD-100299</t>
  </si>
  <si>
    <t>Marie Alvarado</t>
  </si>
  <si>
    <t>ORD-100300</t>
  </si>
  <si>
    <t>Emily Ruiz</t>
  </si>
  <si>
    <t>ORD-100301</t>
  </si>
  <si>
    <t>Marie Taylor</t>
  </si>
  <si>
    <t>ORD-100302</t>
  </si>
  <si>
    <t>Kaden Ruiz</t>
  </si>
  <si>
    <t>ORD-100303</t>
  </si>
  <si>
    <t>Charles Ruiz</t>
  </si>
  <si>
    <t>ORD-100304</t>
  </si>
  <si>
    <t>Rita Taylor</t>
  </si>
  <si>
    <t>ORD-100305</t>
  </si>
  <si>
    <t>ORD-100306</t>
  </si>
  <si>
    <t>Daniel Alvarado</t>
  </si>
  <si>
    <t>ORD-100307</t>
  </si>
  <si>
    <t>Linda Harris</t>
  </si>
  <si>
    <t>ORD-100308</t>
  </si>
  <si>
    <t>Mark Miller</t>
  </si>
  <si>
    <t>ORD-100309</t>
  </si>
  <si>
    <t>Susan Taylor</t>
  </si>
  <si>
    <t>ORD-100310</t>
  </si>
  <si>
    <t>ORD-100311</t>
  </si>
  <si>
    <t>Dennis Martin</t>
  </si>
  <si>
    <t>ORD-100312</t>
  </si>
  <si>
    <t>Thomas White</t>
  </si>
  <si>
    <t>ORD-100313</t>
  </si>
  <si>
    <t>Patricia Allen</t>
  </si>
  <si>
    <t>ORD-100314</t>
  </si>
  <si>
    <t>Nancy Allen</t>
  </si>
  <si>
    <t>ORD-100315</t>
  </si>
  <si>
    <t>Patricia Johnson</t>
  </si>
  <si>
    <t>ORD-100316</t>
  </si>
  <si>
    <t>Sandra Davis</t>
  </si>
  <si>
    <t>ORD-100317</t>
  </si>
  <si>
    <t>Robert White</t>
  </si>
  <si>
    <t>ORD-100318</t>
  </si>
  <si>
    <t>Ashley Martin</t>
  </si>
  <si>
    <t>ORD-100319</t>
  </si>
  <si>
    <t>Dennis Carpenter</t>
  </si>
  <si>
    <t>ORD-100320</t>
  </si>
  <si>
    <t>ORD-100321</t>
  </si>
  <si>
    <t>Richard Carpenter</t>
  </si>
  <si>
    <t>ORD-100322</t>
  </si>
  <si>
    <t>ORD-100323</t>
  </si>
  <si>
    <t>ORD-100324</t>
  </si>
  <si>
    <t>Dennis Brown</t>
  </si>
  <si>
    <t>ORD-100325</t>
  </si>
  <si>
    <t>Matthew Smith</t>
  </si>
  <si>
    <t>ORD-100326</t>
  </si>
  <si>
    <t>ORD-100327</t>
  </si>
  <si>
    <t>Joseph Alvarado</t>
  </si>
  <si>
    <t>ORD-100328</t>
  </si>
  <si>
    <t>Linda Miller</t>
  </si>
  <si>
    <t>ORD-100329</t>
  </si>
  <si>
    <t>ORD-100330</t>
  </si>
  <si>
    <t>Matthew Harris</t>
  </si>
  <si>
    <t>ORD-100331</t>
  </si>
  <si>
    <t>Sandra Miller</t>
  </si>
  <si>
    <t>ORD-100332</t>
  </si>
  <si>
    <t>ORD-100333</t>
  </si>
  <si>
    <t>Linda Alvarado</t>
  </si>
  <si>
    <t>ORD-100334</t>
  </si>
  <si>
    <t>James Taylor</t>
  </si>
  <si>
    <t>ORD-100335</t>
  </si>
  <si>
    <t>James Thomas</t>
  </si>
  <si>
    <t>ORD-100336</t>
  </si>
  <si>
    <t>Elizabeth Taylor</t>
  </si>
  <si>
    <t>ORD-100337</t>
  </si>
  <si>
    <t>ORD-100338</t>
  </si>
  <si>
    <t>Marie Allen</t>
  </si>
  <si>
    <t>ORD-100339</t>
  </si>
  <si>
    <t>Sandra Zimmerman</t>
  </si>
  <si>
    <t>ORD-100340</t>
  </si>
  <si>
    <t>ORD-100341</t>
  </si>
  <si>
    <t>ORD-100342</t>
  </si>
  <si>
    <t>Jessica Carpenter</t>
  </si>
  <si>
    <t>ORD-100343</t>
  </si>
  <si>
    <t>Joseph Wilson</t>
  </si>
  <si>
    <t>ORD-100344</t>
  </si>
  <si>
    <t>ORD-100345</t>
  </si>
  <si>
    <t>Susan Zimmerman</t>
  </si>
  <si>
    <t>ORD-100346</t>
  </si>
  <si>
    <t>Marie Zimmerman</t>
  </si>
  <si>
    <t>ORD-100347</t>
  </si>
  <si>
    <t>Charles Taylor</t>
  </si>
  <si>
    <t>ORD-100348</t>
  </si>
  <si>
    <t>ORD-100349</t>
  </si>
  <si>
    <t>David Miller</t>
  </si>
  <si>
    <t>ORD-100350</t>
  </si>
  <si>
    <t>Marie Johnson</t>
  </si>
  <si>
    <t>ORD-100351</t>
  </si>
  <si>
    <t>ORD-100352</t>
  </si>
  <si>
    <t>ORD-100353</t>
  </si>
  <si>
    <t>ORD-100354</t>
  </si>
  <si>
    <t>ORD-100355</t>
  </si>
  <si>
    <t>ORD-100356</t>
  </si>
  <si>
    <t>Mark Jackson</t>
  </si>
  <si>
    <t>ORD-100357</t>
  </si>
  <si>
    <t>ORD-100358</t>
  </si>
  <si>
    <t>ORD-100359</t>
  </si>
  <si>
    <t>ORD-100360</t>
  </si>
  <si>
    <t>ORD-100361</t>
  </si>
  <si>
    <t>ORD-100362</t>
  </si>
  <si>
    <t>ORD-100363</t>
  </si>
  <si>
    <t>ORD-100364</t>
  </si>
  <si>
    <t>Joseph White</t>
  </si>
  <si>
    <t>ORD-100365</t>
  </si>
  <si>
    <t>James Smith</t>
  </si>
  <si>
    <t>ORD-100366</t>
  </si>
  <si>
    <t>Robert Wilson</t>
  </si>
  <si>
    <t>ORD-100367</t>
  </si>
  <si>
    <t>Sandra Thompson</t>
  </si>
  <si>
    <t>ORD-100368</t>
  </si>
  <si>
    <t>Emily Alvarado</t>
  </si>
  <si>
    <t>ORD-100369</t>
  </si>
  <si>
    <t>Susan Martin</t>
  </si>
  <si>
    <t>ORD-100370</t>
  </si>
  <si>
    <t>Mark Wilson</t>
  </si>
  <si>
    <t>ORD-100371</t>
  </si>
  <si>
    <t>Patricia Davis</t>
  </si>
  <si>
    <t>ORD-100372</t>
  </si>
  <si>
    <t>Robert Anderson</t>
  </si>
  <si>
    <t>ORD-100373</t>
  </si>
  <si>
    <t>ORD-100374</t>
  </si>
  <si>
    <t>ORD-100375</t>
  </si>
  <si>
    <t>ORD-100376</t>
  </si>
  <si>
    <t>William Johnson</t>
  </si>
  <si>
    <t>ORD-100377</t>
  </si>
  <si>
    <t>Dennis Taylor</t>
  </si>
  <si>
    <t>ORD-100378</t>
  </si>
  <si>
    <t>ORD-100379</t>
  </si>
  <si>
    <t>ORD-100380</t>
  </si>
  <si>
    <t>ORD-100381</t>
  </si>
  <si>
    <t>Dennis White</t>
  </si>
  <si>
    <t>ORD-100382</t>
  </si>
  <si>
    <t>ORD-100383</t>
  </si>
  <si>
    <t>ORD-100384</t>
  </si>
  <si>
    <t>Joseph Smith</t>
  </si>
  <si>
    <t>ORD-100385</t>
  </si>
  <si>
    <t>ORD-100386</t>
  </si>
  <si>
    <t>Nancy Wilson</t>
  </si>
  <si>
    <t>ORD-100387</t>
  </si>
  <si>
    <t>ORD-100388</t>
  </si>
  <si>
    <t>ORD-100389</t>
  </si>
  <si>
    <t>ORD-100390</t>
  </si>
  <si>
    <t>ORD-100391</t>
  </si>
  <si>
    <t>Susan Allen</t>
  </si>
  <si>
    <t>ORD-100392</t>
  </si>
  <si>
    <t>James Moore</t>
  </si>
  <si>
    <t>ORD-100393</t>
  </si>
  <si>
    <t>Charles Moore</t>
  </si>
  <si>
    <t>ORD-100394</t>
  </si>
  <si>
    <t>ORD-100395</t>
  </si>
  <si>
    <t>ORD-100396</t>
  </si>
  <si>
    <t>ORD-100397</t>
  </si>
  <si>
    <t>ORD-100398</t>
  </si>
  <si>
    <t>Robert Jackson</t>
  </si>
  <si>
    <t>ORD-100399</t>
  </si>
  <si>
    <t>ORD-100400</t>
  </si>
  <si>
    <t>Karen Smith</t>
  </si>
  <si>
    <t>ORD-100401</t>
  </si>
  <si>
    <t>Emily Smith</t>
  </si>
  <si>
    <t>ORD-100402</t>
  </si>
  <si>
    <t>ORD-100403</t>
  </si>
  <si>
    <t>ORD-100404</t>
  </si>
  <si>
    <t>ORD-100405</t>
  </si>
  <si>
    <t>Mark Thomas</t>
  </si>
  <si>
    <t>ORD-100406</t>
  </si>
  <si>
    <t>Robert Taylor</t>
  </si>
  <si>
    <t>ORD-100407</t>
  </si>
  <si>
    <t>ORD-100408</t>
  </si>
  <si>
    <t>Dennis Ruiz</t>
  </si>
  <si>
    <t>ORD-100409</t>
  </si>
  <si>
    <t>ORD-100410</t>
  </si>
  <si>
    <t>Susan Moore</t>
  </si>
  <si>
    <t>ORD-100411</t>
  </si>
  <si>
    <t>ORD-100412</t>
  </si>
  <si>
    <t>Jessica Taylor</t>
  </si>
  <si>
    <t>ORD-100413</t>
  </si>
  <si>
    <t>ORD-100414</t>
  </si>
  <si>
    <t>ORD-100415</t>
  </si>
  <si>
    <t>ORD-100416</t>
  </si>
  <si>
    <t>ORD-100417</t>
  </si>
  <si>
    <t>ORD-100418</t>
  </si>
  <si>
    <t>Matthew Davis</t>
  </si>
  <si>
    <t>ORD-100419</t>
  </si>
  <si>
    <t>ORD-100420</t>
  </si>
  <si>
    <t>ORD-100421</t>
  </si>
  <si>
    <t>Daniel Johnson</t>
  </si>
  <si>
    <t>ORD-100422</t>
  </si>
  <si>
    <t>Mark Taylor</t>
  </si>
  <si>
    <t>ORD-100423</t>
  </si>
  <si>
    <t>Rita Anderson</t>
  </si>
  <si>
    <t>ORD-100424</t>
  </si>
  <si>
    <t>Thomas Smith</t>
  </si>
  <si>
    <t>ORD-100425</t>
  </si>
  <si>
    <t>Sarah White</t>
  </si>
  <si>
    <t>ORD-100426</t>
  </si>
  <si>
    <t>Charles Anderson</t>
  </si>
  <si>
    <t>ORD-100427</t>
  </si>
  <si>
    <t>ORD-100428</t>
  </si>
  <si>
    <t>Jennifer Thomas</t>
  </si>
  <si>
    <t>ORD-100429</t>
  </si>
  <si>
    <t>Patricia Carpenter</t>
  </si>
  <si>
    <t>ORD-100430</t>
  </si>
  <si>
    <t>ORD-100431</t>
  </si>
  <si>
    <t>ORD-100432</t>
  </si>
  <si>
    <t>Robert Ruiz</t>
  </si>
  <si>
    <t>ORD-100433</t>
  </si>
  <si>
    <t>Emily Wilson</t>
  </si>
  <si>
    <t>ORD-100434</t>
  </si>
  <si>
    <t>ORD-100435</t>
  </si>
  <si>
    <t>ORD-100436</t>
  </si>
  <si>
    <t>ORD-100437</t>
  </si>
  <si>
    <t>ORD-100438</t>
  </si>
  <si>
    <t>ORD-100439</t>
  </si>
  <si>
    <t>Daniel Harris</t>
  </si>
  <si>
    <t>ORD-100440</t>
  </si>
  <si>
    <t>ORD-100441</t>
  </si>
  <si>
    <t>ORD-100442</t>
  </si>
  <si>
    <t>Emily Davis</t>
  </si>
  <si>
    <t>ORD-100443</t>
  </si>
  <si>
    <t>Thomas Thompson</t>
  </si>
  <si>
    <t>ORD-100444</t>
  </si>
  <si>
    <t>Patricia Miller</t>
  </si>
  <si>
    <t>ORD-100445</t>
  </si>
  <si>
    <t>ORD-100446</t>
  </si>
  <si>
    <t>Jennifer Zimmerman</t>
  </si>
  <si>
    <t>ORD-100447</t>
  </si>
  <si>
    <t>ORD-100448</t>
  </si>
  <si>
    <t>Matthew Johnson</t>
  </si>
  <si>
    <t>ORD-100449</t>
  </si>
  <si>
    <t>ORD-100450</t>
  </si>
  <si>
    <t>ORD-100451</t>
  </si>
  <si>
    <t>Elizabeth Johnson</t>
  </si>
  <si>
    <t>ORD-100452</t>
  </si>
  <si>
    <t>ORD-100453</t>
  </si>
  <si>
    <t>Paul Davis</t>
  </si>
  <si>
    <t>ORD-100454</t>
  </si>
  <si>
    <t>Ashley White</t>
  </si>
  <si>
    <t>ORD-100455</t>
  </si>
  <si>
    <t>ORD-100456</t>
  </si>
  <si>
    <t>Rita Thomas</t>
  </si>
  <si>
    <t>ORD-100457</t>
  </si>
  <si>
    <t>Nancy Johnson</t>
  </si>
  <si>
    <t>ORD-100458</t>
  </si>
  <si>
    <t>ORD-100459</t>
  </si>
  <si>
    <t>Emily Moore</t>
  </si>
  <si>
    <t>ORD-100460</t>
  </si>
  <si>
    <t>ORD-100461</t>
  </si>
  <si>
    <t>ORD-100462</t>
  </si>
  <si>
    <t>Mark Thompson</t>
  </si>
  <si>
    <t>ORD-100463</t>
  </si>
  <si>
    <t>ORD-100464</t>
  </si>
  <si>
    <t>ORD-100465</t>
  </si>
  <si>
    <t>Joseph Johnson</t>
  </si>
  <si>
    <t>ORD-100466</t>
  </si>
  <si>
    <t>ORD-100467</t>
  </si>
  <si>
    <t>Sarah Brown</t>
  </si>
  <si>
    <t>ORD-100468</t>
  </si>
  <si>
    <t>Michael Thomas</t>
  </si>
  <si>
    <t>ORD-100469</t>
  </si>
  <si>
    <t>ORD-100470</t>
  </si>
  <si>
    <t>Richard Alvarado</t>
  </si>
  <si>
    <t>ORD-100471</t>
  </si>
  <si>
    <t>ORD-100472</t>
  </si>
  <si>
    <t>ORD-100473</t>
  </si>
  <si>
    <t>Karen Harris</t>
  </si>
  <si>
    <t>ORD-100474</t>
  </si>
  <si>
    <t>ORD-100475</t>
  </si>
  <si>
    <t>Robert Harris</t>
  </si>
  <si>
    <t>ORD-100476</t>
  </si>
  <si>
    <t>ORD-100477</t>
  </si>
  <si>
    <t>David Ruiz</t>
  </si>
  <si>
    <t>ORD-100478</t>
  </si>
  <si>
    <t>ORD-100479</t>
  </si>
  <si>
    <t>Kaden Davis</t>
  </si>
  <si>
    <t>ORD-100480</t>
  </si>
  <si>
    <t>Richard Miller</t>
  </si>
  <si>
    <t>ORD-100481</t>
  </si>
  <si>
    <t>ORD-100482</t>
  </si>
  <si>
    <t>Linda Zimmerman</t>
  </si>
  <si>
    <t>ORD-100483</t>
  </si>
  <si>
    <t>ORD-100484</t>
  </si>
  <si>
    <t>ORD-100485</t>
  </si>
  <si>
    <t>Sandra White</t>
  </si>
  <si>
    <t>ORD-100486</t>
  </si>
  <si>
    <t>ORD-100487</t>
  </si>
  <si>
    <t>Nancy Brown</t>
  </si>
  <si>
    <t>ORD-100488</t>
  </si>
  <si>
    <t>ORD-100489</t>
  </si>
  <si>
    <t>ORD-100490</t>
  </si>
  <si>
    <t>Paul Thompson</t>
  </si>
  <si>
    <t>ORD-100491</t>
  </si>
  <si>
    <t>Dennis Harris</t>
  </si>
  <si>
    <t>ORD-100492</t>
  </si>
  <si>
    <t>Susan Johnson</t>
  </si>
  <si>
    <t>ORD-100493</t>
  </si>
  <si>
    <t>Marie White</t>
  </si>
  <si>
    <t>ORD-100494</t>
  </si>
  <si>
    <t>Dennis Zimmerman</t>
  </si>
  <si>
    <t>ORD-100495</t>
  </si>
  <si>
    <t>Susan Thompson</t>
  </si>
  <si>
    <t>ORD-100496</t>
  </si>
  <si>
    <t>ORD-100497</t>
  </si>
  <si>
    <t>ORD-100498</t>
  </si>
  <si>
    <t>ORD-100499</t>
  </si>
  <si>
    <t>ORD-100500</t>
  </si>
  <si>
    <t>ORD-100501</t>
  </si>
  <si>
    <t>ORD-100502</t>
  </si>
  <si>
    <t>Mark Allen</t>
  </si>
  <si>
    <t>ORD-100503</t>
  </si>
  <si>
    <t>ORD-100504</t>
  </si>
  <si>
    <t>ORD-100505</t>
  </si>
  <si>
    <t>ORD-100506</t>
  </si>
  <si>
    <t>ORD-100507</t>
  </si>
  <si>
    <t>ORD-100508</t>
  </si>
  <si>
    <t>ORD-100509</t>
  </si>
  <si>
    <t>ORD-100510</t>
  </si>
  <si>
    <t>Sarah Martin</t>
  </si>
  <si>
    <t>ORD-100511</t>
  </si>
  <si>
    <t>ORD-100512</t>
  </si>
  <si>
    <t>Richard Ruiz</t>
  </si>
  <si>
    <t>ORD-100513</t>
  </si>
  <si>
    <t>Dennis Anderson</t>
  </si>
  <si>
    <t>ORD-100514</t>
  </si>
  <si>
    <t>Linda Johnson</t>
  </si>
  <si>
    <t>ORD-100515</t>
  </si>
  <si>
    <t>ORD-100516</t>
  </si>
  <si>
    <t>ORD-100517</t>
  </si>
  <si>
    <t>Matthew Miller</t>
  </si>
  <si>
    <t>ORD-100518</t>
  </si>
  <si>
    <t>ORD-100519</t>
  </si>
  <si>
    <t>Marie Davis</t>
  </si>
  <si>
    <t>ORD-100520</t>
  </si>
  <si>
    <t>Matthew Brown</t>
  </si>
  <si>
    <t>ORD-100521</t>
  </si>
  <si>
    <t>Richard Smith</t>
  </si>
  <si>
    <t>ORD-100522</t>
  </si>
  <si>
    <t>ORD-100523</t>
  </si>
  <si>
    <t>Linda Anderson</t>
  </si>
  <si>
    <t>ORD-100524</t>
  </si>
  <si>
    <t>ORD-100525</t>
  </si>
  <si>
    <t>Marie Carpenter</t>
  </si>
  <si>
    <t>ORD-100526</t>
  </si>
  <si>
    <t>Sandra Thomas</t>
  </si>
  <si>
    <t>ORD-100527</t>
  </si>
  <si>
    <t>William Harris</t>
  </si>
  <si>
    <t>ORD-100528</t>
  </si>
  <si>
    <t>ORD-100529</t>
  </si>
  <si>
    <t>ORD-100530</t>
  </si>
  <si>
    <t>Paul Taylor</t>
  </si>
  <si>
    <t>ORD-100531</t>
  </si>
  <si>
    <t>ORD-100532</t>
  </si>
  <si>
    <t>Matthew Carpenter</t>
  </si>
  <si>
    <t>ORD-100533</t>
  </si>
  <si>
    <t>ORD-100534</t>
  </si>
  <si>
    <t>ORD-100535</t>
  </si>
  <si>
    <t>ORD-100536</t>
  </si>
  <si>
    <t>James White</t>
  </si>
  <si>
    <t>ORD-100537</t>
  </si>
  <si>
    <t>Joseph Moore</t>
  </si>
  <si>
    <t>ORD-100538</t>
  </si>
  <si>
    <t>Jessica Thompson</t>
  </si>
  <si>
    <t>ORD-100539</t>
  </si>
  <si>
    <t>Elizabeth Wilson</t>
  </si>
  <si>
    <t>ORD-100540</t>
  </si>
  <si>
    <t>ORD-100541</t>
  </si>
  <si>
    <t>ORD-100542</t>
  </si>
  <si>
    <t>Emily Martin</t>
  </si>
  <si>
    <t>ORD-100543</t>
  </si>
  <si>
    <t>ORD-100544</t>
  </si>
  <si>
    <t>Sarah Jackson</t>
  </si>
  <si>
    <t>ORD-100545</t>
  </si>
  <si>
    <t>ORD-100546</t>
  </si>
  <si>
    <t>Ashley Thompson</t>
  </si>
  <si>
    <t>ORD-100547</t>
  </si>
  <si>
    <t>Charles Brown</t>
  </si>
  <si>
    <t>ORD-100548</t>
  </si>
  <si>
    <t>Patricia Taylor</t>
  </si>
  <si>
    <t>ORD-100549</t>
  </si>
  <si>
    <t>ORD-100550</t>
  </si>
  <si>
    <t>James Harris</t>
  </si>
  <si>
    <t>ORD-100551</t>
  </si>
  <si>
    <t>ORD-100552</t>
  </si>
  <si>
    <t>ORD-100553</t>
  </si>
  <si>
    <t>ORD-100554</t>
  </si>
  <si>
    <t>Ashley Miller</t>
  </si>
  <si>
    <t>ORD-100555</t>
  </si>
  <si>
    <t>ORD-100556</t>
  </si>
  <si>
    <t>Nancy Zimmerman</t>
  </si>
  <si>
    <t>ORD-100557</t>
  </si>
  <si>
    <t>Marie Thomas</t>
  </si>
  <si>
    <t>ORD-100558</t>
  </si>
  <si>
    <t>ORD-100559</t>
  </si>
  <si>
    <t>Kaden Johnson</t>
  </si>
  <si>
    <t>ORD-100560</t>
  </si>
  <si>
    <t>Patricia Wilson</t>
  </si>
  <si>
    <t>ORD-100561</t>
  </si>
  <si>
    <t>ORD-100562</t>
  </si>
  <si>
    <t>ORD-100563</t>
  </si>
  <si>
    <t>Elizabeth Brown</t>
  </si>
  <si>
    <t>ORD-100564</t>
  </si>
  <si>
    <t>ORD-100565</t>
  </si>
  <si>
    <t>Thomas Martin</t>
  </si>
  <si>
    <t>ORD-100566</t>
  </si>
  <si>
    <t>Betty Zimmerman</t>
  </si>
  <si>
    <t>ORD-100567</t>
  </si>
  <si>
    <t>ORD-100568</t>
  </si>
  <si>
    <t>Karen Brown</t>
  </si>
  <si>
    <t>ORD-100569</t>
  </si>
  <si>
    <t>ORD-100570</t>
  </si>
  <si>
    <t>ORD-100571</t>
  </si>
  <si>
    <t>ORD-100572</t>
  </si>
  <si>
    <t>Karen Martin</t>
  </si>
  <si>
    <t>ORD-100573</t>
  </si>
  <si>
    <t>ORD-100574</t>
  </si>
  <si>
    <t>ORD-100575</t>
  </si>
  <si>
    <t>ORD-100576</t>
  </si>
  <si>
    <t>Jessica Ruiz</t>
  </si>
  <si>
    <t>ORD-100577</t>
  </si>
  <si>
    <t>ORD-100578</t>
  </si>
  <si>
    <t>Jennifer Allen</t>
  </si>
  <si>
    <t>ORD-100579</t>
  </si>
  <si>
    <t>Joseph Ruiz</t>
  </si>
  <si>
    <t>ORD-100580</t>
  </si>
  <si>
    <t>ORD-100581</t>
  </si>
  <si>
    <t>ORD-100582</t>
  </si>
  <si>
    <t>ORD-100583</t>
  </si>
  <si>
    <t>ORD-100584</t>
  </si>
  <si>
    <t>Michael Allen</t>
  </si>
  <si>
    <t>ORD-100585</t>
  </si>
  <si>
    <t>ORD-100586</t>
  </si>
  <si>
    <t>Paul Allen</t>
  </si>
  <si>
    <t>ORD-100587</t>
  </si>
  <si>
    <t>ORD-100588</t>
  </si>
  <si>
    <t>ORD-100589</t>
  </si>
  <si>
    <t>Jennifer Ruiz</t>
  </si>
  <si>
    <t>ORD-100590</t>
  </si>
  <si>
    <t>ORD-100591</t>
  </si>
  <si>
    <t>Elizabeth Carpenter</t>
  </si>
  <si>
    <t>ORD-100592</t>
  </si>
  <si>
    <t>ORD-100593</t>
  </si>
  <si>
    <t>ORD-100594</t>
  </si>
  <si>
    <t>Thomas Thomas</t>
  </si>
  <si>
    <t>ORD-100595</t>
  </si>
  <si>
    <t>ORD-100596</t>
  </si>
  <si>
    <t>ORD-100597</t>
  </si>
  <si>
    <t>ORD-100598</t>
  </si>
  <si>
    <t>Susan Brown</t>
  </si>
  <si>
    <t>ORD-100599</t>
  </si>
  <si>
    <t>ORD-100600</t>
  </si>
  <si>
    <t>ORD-100601</t>
  </si>
  <si>
    <t>James Carpenter</t>
  </si>
  <si>
    <t>ORD-100602</t>
  </si>
  <si>
    <t>ORD-100603</t>
  </si>
  <si>
    <t>ORD-100604</t>
  </si>
  <si>
    <t>ORD-100605</t>
  </si>
  <si>
    <t>ORD-100606</t>
  </si>
  <si>
    <t>ORD-100607</t>
  </si>
  <si>
    <t>ORD-100608</t>
  </si>
  <si>
    <t>ORD-100609</t>
  </si>
  <si>
    <t>ORD-100610</t>
  </si>
  <si>
    <t>Michael Wilson</t>
  </si>
  <si>
    <t>ORD-100611</t>
  </si>
  <si>
    <t>ORD-100612</t>
  </si>
  <si>
    <t>Jessica Thomas</t>
  </si>
  <si>
    <t>ORD-100613</t>
  </si>
  <si>
    <t>Michael Smith</t>
  </si>
  <si>
    <t>ORD-100614</t>
  </si>
  <si>
    <t>ORD-100615</t>
  </si>
  <si>
    <t>ORD-100616</t>
  </si>
  <si>
    <t>ORD-100617</t>
  </si>
  <si>
    <t>Joseph Thomas</t>
  </si>
  <si>
    <t>ORD-100618</t>
  </si>
  <si>
    <t>ORD-100619</t>
  </si>
  <si>
    <t>ORD-100620</t>
  </si>
  <si>
    <t>ORD-100621</t>
  </si>
  <si>
    <t>Rita Smith</t>
  </si>
  <si>
    <t>ORD-100622</t>
  </si>
  <si>
    <t>ORD-100623</t>
  </si>
  <si>
    <t>Sandra Anderson</t>
  </si>
  <si>
    <t>ORD-100624</t>
  </si>
  <si>
    <t>ORD-100625</t>
  </si>
  <si>
    <t>ORD-100626</t>
  </si>
  <si>
    <t>ORD-100627</t>
  </si>
  <si>
    <t>ORD-100628</t>
  </si>
  <si>
    <t>ORD-100629</t>
  </si>
  <si>
    <t>Charles Thompson</t>
  </si>
  <si>
    <t>ORD-100630</t>
  </si>
  <si>
    <t>Nancy Miller</t>
  </si>
  <si>
    <t>ORD-100631</t>
  </si>
  <si>
    <t>Rita Thompson</t>
  </si>
  <si>
    <t>ORD-100632</t>
  </si>
  <si>
    <t>Nancy Thomas</t>
  </si>
  <si>
    <t>ORD-100633</t>
  </si>
  <si>
    <t>ORD-100634</t>
  </si>
  <si>
    <t>ORD-100635</t>
  </si>
  <si>
    <t>Susan Miller</t>
  </si>
  <si>
    <t>ORD-100636</t>
  </si>
  <si>
    <t>ORD-100637</t>
  </si>
  <si>
    <t>ORD-100638</t>
  </si>
  <si>
    <t>Sandra Alvarado</t>
  </si>
  <si>
    <t>ORD-100639</t>
  </si>
  <si>
    <t>ORD-100640</t>
  </si>
  <si>
    <t>Elizabeth Alvarado</t>
  </si>
  <si>
    <t>ORD-100641</t>
  </si>
  <si>
    <t>ORD-100642</t>
  </si>
  <si>
    <t>ORD-100643</t>
  </si>
  <si>
    <t>ORD-100644</t>
  </si>
  <si>
    <t>ORD-100645</t>
  </si>
  <si>
    <t>ORD-100646</t>
  </si>
  <si>
    <t>ORD-100647</t>
  </si>
  <si>
    <t>ORD-100648</t>
  </si>
  <si>
    <t>Susan Anderson</t>
  </si>
  <si>
    <t>ORD-100649</t>
  </si>
  <si>
    <t>Matthew Martin</t>
  </si>
  <si>
    <t>ORD-100650</t>
  </si>
  <si>
    <t>ORD-100651</t>
  </si>
  <si>
    <t>ORD-100652</t>
  </si>
  <si>
    <t>William Smith</t>
  </si>
  <si>
    <t>ORD-100653</t>
  </si>
  <si>
    <t>ORD-100654</t>
  </si>
  <si>
    <t>ORD-100655</t>
  </si>
  <si>
    <t>ORD-100656</t>
  </si>
  <si>
    <t>ORD-100657</t>
  </si>
  <si>
    <t>Linda Allen</t>
  </si>
  <si>
    <t>ORD-100658</t>
  </si>
  <si>
    <t>Daniel Carpenter</t>
  </si>
  <si>
    <t>ORD-100659</t>
  </si>
  <si>
    <t>ORD-100660</t>
  </si>
  <si>
    <t>ORD-100661</t>
  </si>
  <si>
    <t>ORD-100662</t>
  </si>
  <si>
    <t>ORD-100663</t>
  </si>
  <si>
    <t>Paul Miller</t>
  </si>
  <si>
    <t>ORD-100664</t>
  </si>
  <si>
    <t>ORD-100665</t>
  </si>
  <si>
    <t>ORD-100666</t>
  </si>
  <si>
    <t>Karen Thomas</t>
  </si>
  <si>
    <t>ORD-100667</t>
  </si>
  <si>
    <t>ORD-100668</t>
  </si>
  <si>
    <t>Michael Brown</t>
  </si>
  <si>
    <t>ORD-100669</t>
  </si>
  <si>
    <t>ORD-100670</t>
  </si>
  <si>
    <t>Thomas Moore</t>
  </si>
  <si>
    <t>ORD-100671</t>
  </si>
  <si>
    <t>ORD-100672</t>
  </si>
  <si>
    <t>Mark Johnson</t>
  </si>
  <si>
    <t>ORD-100673</t>
  </si>
  <si>
    <t>ORD-100674</t>
  </si>
  <si>
    <t>ORD-100675</t>
  </si>
  <si>
    <t>ORD-100676</t>
  </si>
  <si>
    <t>Betty Anderson</t>
  </si>
  <si>
    <t>ORD-100677</t>
  </si>
  <si>
    <t>William Martin</t>
  </si>
  <si>
    <t>ORD-100678</t>
  </si>
  <si>
    <t>ORD-100679</t>
  </si>
  <si>
    <t>ORD-100680</t>
  </si>
  <si>
    <t>Richard Moore</t>
  </si>
  <si>
    <t>ORD-100681</t>
  </si>
  <si>
    <t>ORD-100682</t>
  </si>
  <si>
    <t>ORD-100683</t>
  </si>
  <si>
    <t>ORD-100684</t>
  </si>
  <si>
    <t>Paul Harris</t>
  </si>
  <si>
    <t>ORD-100685</t>
  </si>
  <si>
    <t>ORD-100686</t>
  </si>
  <si>
    <t>ORD-100687</t>
  </si>
  <si>
    <t>Jennifer Anderson</t>
  </si>
  <si>
    <t>ORD-100688</t>
  </si>
  <si>
    <t>ORD-100689</t>
  </si>
  <si>
    <t>William Miller</t>
  </si>
  <si>
    <t>ORD-100690</t>
  </si>
  <si>
    <t>ORD-100691</t>
  </si>
  <si>
    <t>ORD-100692</t>
  </si>
  <si>
    <t>ORD-100693</t>
  </si>
  <si>
    <t>ORD-100694</t>
  </si>
  <si>
    <t>Richard Wilson</t>
  </si>
  <si>
    <t>ORD-100695</t>
  </si>
  <si>
    <t>ORD-100696</t>
  </si>
  <si>
    <t>ORD-100697</t>
  </si>
  <si>
    <t>James Zimmerman</t>
  </si>
  <si>
    <t>ORD-100698</t>
  </si>
  <si>
    <t>ORD-100699</t>
  </si>
  <si>
    <t>David Moore</t>
  </si>
  <si>
    <t>ORD-100700</t>
  </si>
  <si>
    <t>ORD-100701</t>
  </si>
  <si>
    <t>ORD-100702</t>
  </si>
  <si>
    <t>ORD-100703</t>
  </si>
  <si>
    <t>ORD-100704</t>
  </si>
  <si>
    <t>ORD-100705</t>
  </si>
  <si>
    <t>ORD-100706</t>
  </si>
  <si>
    <t>ORD-100707</t>
  </si>
  <si>
    <t>ORD-100708</t>
  </si>
  <si>
    <t>Rita Moore</t>
  </si>
  <si>
    <t>ORD-100709</t>
  </si>
  <si>
    <t>ORD-100710</t>
  </si>
  <si>
    <t>ORD-100711</t>
  </si>
  <si>
    <t>ORD-100712</t>
  </si>
  <si>
    <t>Karen White</t>
  </si>
  <si>
    <t>ORD-100713</t>
  </si>
  <si>
    <t>ORD-100714</t>
  </si>
  <si>
    <t>Sarah Miller</t>
  </si>
  <si>
    <t>ORD-100715</t>
  </si>
  <si>
    <t>ORD-100716</t>
  </si>
  <si>
    <t>ORD-100717</t>
  </si>
  <si>
    <t>ORD-100718</t>
  </si>
  <si>
    <t>ORD-100719</t>
  </si>
  <si>
    <t>Linda White</t>
  </si>
  <si>
    <t>ORD-100720</t>
  </si>
  <si>
    <t>Dennis Alvarado</t>
  </si>
  <si>
    <t>ORD-100721</t>
  </si>
  <si>
    <t>ORD-100722</t>
  </si>
  <si>
    <t>Matthew White</t>
  </si>
  <si>
    <t>ORD-100723</t>
  </si>
  <si>
    <t>ORD-100724</t>
  </si>
  <si>
    <t>Ashley Anderson</t>
  </si>
  <si>
    <t>ORD-100725</t>
  </si>
  <si>
    <t>ORD-100726</t>
  </si>
  <si>
    <t>ORD-100727</t>
  </si>
  <si>
    <t>ORD-100728</t>
  </si>
  <si>
    <t>ORD-100729</t>
  </si>
  <si>
    <t>ORD-100730</t>
  </si>
  <si>
    <t>ORD-100731</t>
  </si>
  <si>
    <t>ORD-100732</t>
  </si>
  <si>
    <t>ORD-100733</t>
  </si>
  <si>
    <t>ORD-100734</t>
  </si>
  <si>
    <t>ORD-100735</t>
  </si>
  <si>
    <t>Joseph Taylor</t>
  </si>
  <si>
    <t>ORD-100736</t>
  </si>
  <si>
    <t>ORD-100737</t>
  </si>
  <si>
    <t>ORD-100738</t>
  </si>
  <si>
    <t>ORD-100739</t>
  </si>
  <si>
    <t>Robert Zimmerman</t>
  </si>
  <si>
    <t>ORD-100740</t>
  </si>
  <si>
    <t>ORD-100741</t>
  </si>
  <si>
    <t>Thomas Allen</t>
  </si>
  <si>
    <t>ORD-100742</t>
  </si>
  <si>
    <t>ORD-100743</t>
  </si>
  <si>
    <t>Thomas Miller</t>
  </si>
  <si>
    <t>ORD-100744</t>
  </si>
  <si>
    <t>Richard Thomas</t>
  </si>
  <si>
    <t>ORD-100745</t>
  </si>
  <si>
    <t>ORD-100746</t>
  </si>
  <si>
    <t>Rita Brown</t>
  </si>
  <si>
    <t>ORD-100747</t>
  </si>
  <si>
    <t>ORD-100748</t>
  </si>
  <si>
    <t>ORD-100749</t>
  </si>
  <si>
    <t>ORD-100750</t>
  </si>
  <si>
    <t>ORD-100751</t>
  </si>
  <si>
    <t>ORD-100752</t>
  </si>
  <si>
    <t>ORD-100753</t>
  </si>
  <si>
    <t>Emily Anderson</t>
  </si>
  <si>
    <t>ORD-100754</t>
  </si>
  <si>
    <t>ORD-100755</t>
  </si>
  <si>
    <t>ORD-100756</t>
  </si>
  <si>
    <t>ORD-100757</t>
  </si>
  <si>
    <t>ORD-100758</t>
  </si>
  <si>
    <t>James Johnson</t>
  </si>
  <si>
    <t>ORD-100759</t>
  </si>
  <si>
    <t>ORD-100760</t>
  </si>
  <si>
    <t>ORD-100761</t>
  </si>
  <si>
    <t>David Smith</t>
  </si>
  <si>
    <t>ORD-100762</t>
  </si>
  <si>
    <t>ORD-100763</t>
  </si>
  <si>
    <t>ORD-100764</t>
  </si>
  <si>
    <t>ORD-100765</t>
  </si>
  <si>
    <t>Charles Johnson</t>
  </si>
  <si>
    <t>ORD-100766</t>
  </si>
  <si>
    <t>ORD-100767</t>
  </si>
  <si>
    <t>ORD-100768</t>
  </si>
  <si>
    <t>ORD-100769</t>
  </si>
  <si>
    <t>ORD-100770</t>
  </si>
  <si>
    <t>ORD-100771</t>
  </si>
  <si>
    <t>ORD-100772</t>
  </si>
  <si>
    <t>ORD-100773</t>
  </si>
  <si>
    <t>ORD-100774</t>
  </si>
  <si>
    <t>ORD-100775</t>
  </si>
  <si>
    <t>ORD-100776</t>
  </si>
  <si>
    <t>Marie Smith</t>
  </si>
  <si>
    <t>ORD-100777</t>
  </si>
  <si>
    <t>ORD-100778</t>
  </si>
  <si>
    <t>Matthew Moore</t>
  </si>
  <si>
    <t>ORD-100779</t>
  </si>
  <si>
    <t>ORD-100780</t>
  </si>
  <si>
    <t>ORD-100781</t>
  </si>
  <si>
    <t>ORD-100782</t>
  </si>
  <si>
    <t>Karen Zimmerman</t>
  </si>
  <si>
    <t>ORD-100783</t>
  </si>
  <si>
    <t>ORD-100784</t>
  </si>
  <si>
    <t>ORD-100785</t>
  </si>
  <si>
    <t>Thomas Ruiz</t>
  </si>
  <si>
    <t>ORD-100786</t>
  </si>
  <si>
    <t>Jennifer Alvarado</t>
  </si>
  <si>
    <t>ORD-100787</t>
  </si>
  <si>
    <t>ORD-100788</t>
  </si>
  <si>
    <t>ORD-100789</t>
  </si>
  <si>
    <t>ORD-100790</t>
  </si>
  <si>
    <t>ORD-100791</t>
  </si>
  <si>
    <t>ORD-100792</t>
  </si>
  <si>
    <t>ORD-100793</t>
  </si>
  <si>
    <t>ORD-100794</t>
  </si>
  <si>
    <t>ORD-100795</t>
  </si>
  <si>
    <t>Betty Thompson</t>
  </si>
  <si>
    <t>ORD-100796</t>
  </si>
  <si>
    <t>Rita Ruiz</t>
  </si>
  <si>
    <t>ORD-100797</t>
  </si>
  <si>
    <t>ORD-100798</t>
  </si>
  <si>
    <t>ORD-100799</t>
  </si>
  <si>
    <t>ORD-100800</t>
  </si>
  <si>
    <t>Sum of Sales</t>
  </si>
  <si>
    <t>Sum of Profit</t>
  </si>
  <si>
    <t>Jan</t>
  </si>
  <si>
    <t>Feb</t>
  </si>
  <si>
    <t>Mar</t>
  </si>
  <si>
    <t>Apr</t>
  </si>
  <si>
    <t>May</t>
  </si>
  <si>
    <t>Jun</t>
  </si>
  <si>
    <t>Grand Total</t>
  </si>
  <si>
    <t>Jul</t>
  </si>
  <si>
    <t>Aug</t>
  </si>
  <si>
    <t>Sep</t>
  </si>
  <si>
    <t>Oct</t>
  </si>
  <si>
    <t>Nov</t>
  </si>
  <si>
    <t>Dec</t>
  </si>
  <si>
    <t>Total Sales</t>
  </si>
  <si>
    <t>Total Profit</t>
  </si>
  <si>
    <t>Total Orders</t>
  </si>
  <si>
    <t>Avg Order Value</t>
  </si>
  <si>
    <t>Profit Margin</t>
  </si>
  <si>
    <t xml:space="preserve">Key  Insights </t>
  </si>
  <si>
    <t>·North region  Generated the highest revenue at  $111,825.51.</t>
  </si>
  <si>
    <t>·Home and Kitchen was the most profitable  category.</t>
  </si>
  <si>
    <t>·December had the strongest sales</t>
  </si>
  <si>
    <t>- Top 10 products generated 74.7%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</si>
</sst>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quot;$&quot;#,##0.00"/>
  </numFmts>
  <fonts count="9">
    <font>
      <sz val="11"/>
      <color theme="1"/>
      <name val="Calibri"/>
      <family val="2"/>
      <scheme val="minor"/>
    </font>
    <font>
      <b/>
      <sz val="11"/>
      <name val="Calibri"/>
    </font>
    <font>
      <b/>
      <sz val="11"/>
      <color theme="1"/>
      <name val="Calibri"/>
      <family val="2"/>
      <scheme val="minor"/>
    </font>
    <font>
      <sz val="20"/>
      <color theme="1"/>
      <name val="Calibri"/>
      <family val="2"/>
      <scheme val="minor"/>
    </font>
    <font>
      <b/>
      <sz val="14"/>
      <color theme="1"/>
      <name val="Calibri"/>
      <family val="2"/>
      <scheme val="minor"/>
    </font>
    <font>
      <b/>
      <sz val="14"/>
      <color rgb="FF000000"/>
      <name val="Calibri"/>
      <scheme val="minor"/>
    </font>
    <font>
      <sz val="11"/>
      <color rgb="FF242424"/>
      <name val="Aptos Narrow"/>
      <charset val="1"/>
    </font>
    <font>
      <sz val="14"/>
      <color theme="1"/>
      <name val="Aptos Narrow"/>
    </font>
    <font>
      <sz val="14"/>
      <color rgb="FF242424"/>
      <name val="Aptos Narrow"/>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0" xfId="0" applyFont="1"/>
    <xf numFmtId="164" fontId="0" fillId="0" borderId="0" xfId="0" applyNumberFormat="1"/>
    <xf numFmtId="165" fontId="0" fillId="0" borderId="0" xfId="0" applyNumberFormat="1"/>
    <xf numFmtId="0" fontId="0" fillId="0" borderId="0" xfId="0" pivotButton="1"/>
    <xf numFmtId="166" fontId="3" fillId="0" borderId="1" xfId="0" applyNumberFormat="1" applyFont="1" applyBorder="1"/>
    <xf numFmtId="0" fontId="3" fillId="0" borderId="1" xfId="0" applyFont="1" applyBorder="1"/>
    <xf numFmtId="166" fontId="3" fillId="0" borderId="1" xfId="0" applyNumberFormat="1" applyFont="1" applyBorder="1" applyAlignment="1">
      <alignment wrapText="1"/>
    </xf>
    <xf numFmtId="165" fontId="3" fillId="0" borderId="1" xfId="0" applyNumberFormat="1" applyFont="1" applyBorder="1"/>
    <xf numFmtId="0" fontId="2" fillId="2" borderId="1" xfId="0" applyFont="1" applyFill="1" applyBorder="1"/>
    <xf numFmtId="0" fontId="4" fillId="0" borderId="0" xfId="0" applyFont="1"/>
    <xf numFmtId="0" fontId="5" fillId="0" borderId="0" xfId="0" applyFont="1"/>
    <xf numFmtId="0" fontId="7" fillId="0" borderId="0" xfId="0" applyFont="1" applyAlignment="1">
      <alignment wrapText="1"/>
    </xf>
    <xf numFmtId="0" fontId="6" fillId="0" borderId="0" xfId="0" applyFont="1" applyAlignment="1">
      <alignment wrapText="1"/>
    </xf>
    <xf numFmtId="0" fontId="8" fillId="0" borderId="0" xfId="0" applyFont="1" applyAlignment="1">
      <alignment wrapText="1"/>
    </xf>
  </cellXfs>
  <cellStyles count="1">
    <cellStyle name="Normal" xfId="0" builtinId="0"/>
  </cellStyles>
  <dxfs count="3">
    <dxf>
      <numFmt numFmtId="165" formatCode="0.0%"/>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[KPI_Dashboard_Project.xlsx]Pivot_Tables!PT_CategoryProfit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Profit - 2025</a:t>
            </a:r>
          </a:p>
        </c:rich>
      </c:tx>
      <c:layout>
        <c:manualLayout>
          <c:xMode val="edge"/>
          <c:yMode val="edge"/>
          <c:x val="0.45013905843098961"/>
          <c:y val="2.31481658087836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Pivot_Tables!$E$1</c:f>
              <c:strCache>
                <c:ptCount val="1"/>
                <c:pt idx="0">
                  <c:v>Total</c:v>
                </c:pt>
              </c:strCache>
            </c:strRef>
          </c:tx>
          <c:spPr>
            <a:solidFill>
              <a:schemeClr val="accent1"/>
            </a:solidFill>
            <a:ln>
              <a:noFill/>
            </a:ln>
            <a:effectLst/>
          </c:spPr>
          <c:invertIfNegative val="0"/>
          <c:cat>
            <c:strRef>
              <c:f>Pivot_Tables!$D$2:$D$7</c:f>
              <c:strCache>
                <c:ptCount val="5"/>
                <c:pt idx="0">
                  <c:v>Apparel</c:v>
                </c:pt>
                <c:pt idx="1">
                  <c:v>Electronics</c:v>
                </c:pt>
                <c:pt idx="2">
                  <c:v>Grocery</c:v>
                </c:pt>
                <c:pt idx="3">
                  <c:v>Home &amp; Kitchen</c:v>
                </c:pt>
                <c:pt idx="4">
                  <c:v>Office Supplies</c:v>
                </c:pt>
              </c:strCache>
            </c:strRef>
          </c:cat>
          <c:val>
            <c:numRef>
              <c:f>Pivot_Tables!$E$2:$E$7</c:f>
              <c:numCache>
                <c:formatCode>General</c:formatCode>
                <c:ptCount val="5"/>
                <c:pt idx="0">
                  <c:v>21097.950000000004</c:v>
                </c:pt>
                <c:pt idx="1">
                  <c:v>19652.779999999992</c:v>
                </c:pt>
                <c:pt idx="2">
                  <c:v>1453.1200000000003</c:v>
                </c:pt>
                <c:pt idx="3">
                  <c:v>35902.280000000006</c:v>
                </c:pt>
                <c:pt idx="4">
                  <c:v>2348.1699999999996</c:v>
                </c:pt>
              </c:numCache>
            </c:numRef>
          </c:val>
          <c:extLst>
            <c:ext xmlns:c16="http://schemas.microsoft.com/office/drawing/2014/chart" uri="{C3380CC4-5D6E-409C-BE32-E72D297353CC}">
              <c16:uniqueId val="{00000000-DEBD-4FF5-803C-A9EC0CF22319}"/>
            </c:ext>
          </c:extLst>
        </c:ser>
        <c:dLbls>
          <c:showLegendKey val="0"/>
          <c:showVal val="0"/>
          <c:showCatName val="0"/>
          <c:showSerName val="0"/>
          <c:showPercent val="0"/>
          <c:showBubbleSize val="0"/>
        </c:dLbls>
        <c:gapWidth val="182"/>
        <c:axId val="1365029383"/>
        <c:axId val="1365031431"/>
      </c:barChart>
      <c:catAx>
        <c:axId val="1365029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031431"/>
        <c:crosses val="autoZero"/>
        <c:auto val="1"/>
        <c:lblAlgn val="ctr"/>
        <c:lblOffset val="100"/>
        <c:noMultiLvlLbl val="0"/>
      </c:catAx>
      <c:valAx>
        <c:axId val="1365031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029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[KPI_Dashboard_Project.xlsx]Pivot_Tables!PT_MonthlySales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Pivot_Tables!$B$2:$B$14</c:f>
              <c:numCache>
                <c:formatCode>General</c:formatCode>
                <c:ptCount val="12"/>
                <c:pt idx="0">
                  <c:v>25573.780000000002</c:v>
                </c:pt>
                <c:pt idx="1">
                  <c:v>24214.870000000003</c:v>
                </c:pt>
                <c:pt idx="2">
                  <c:v>35886.310000000012</c:v>
                </c:pt>
                <c:pt idx="3">
                  <c:v>25425.940000000002</c:v>
                </c:pt>
                <c:pt idx="4">
                  <c:v>43892.69</c:v>
                </c:pt>
                <c:pt idx="5">
                  <c:v>49093.560000000005</c:v>
                </c:pt>
                <c:pt idx="6">
                  <c:v>22455.930000000008</c:v>
                </c:pt>
                <c:pt idx="7">
                  <c:v>34129.719999999994</c:v>
                </c:pt>
                <c:pt idx="8">
                  <c:v>48381.09</c:v>
                </c:pt>
                <c:pt idx="9">
                  <c:v>40986.35</c:v>
                </c:pt>
                <c:pt idx="10">
                  <c:v>48131.139999999978</c:v>
                </c:pt>
                <c:pt idx="11">
                  <c:v>58449.5</c:v>
                </c:pt>
              </c:numCache>
            </c:numRef>
          </c:val>
          <c:smooth val="0"/>
          <c:extLst>
            <c:ext xmlns:c16="http://schemas.microsoft.com/office/drawing/2014/chart" uri="{C3380CC4-5D6E-409C-BE32-E72D297353CC}">
              <c16:uniqueId val="{00000000-3937-4A60-8E5B-D43DD58548A3}"/>
            </c:ext>
          </c:extLst>
        </c:ser>
        <c:dLbls>
          <c:showLegendKey val="0"/>
          <c:showVal val="0"/>
          <c:showCatName val="0"/>
          <c:showSerName val="0"/>
          <c:showPercent val="0"/>
          <c:showBubbleSize val="0"/>
        </c:dLbls>
        <c:marker val="1"/>
        <c:smooth val="0"/>
        <c:axId val="1427501575"/>
        <c:axId val="1426403335"/>
      </c:lineChart>
      <c:catAx>
        <c:axId val="1427501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03335"/>
        <c:crosses val="autoZero"/>
        <c:auto val="1"/>
        <c:lblAlgn val="ctr"/>
        <c:lblOffset val="100"/>
        <c:noMultiLvlLbl val="0"/>
      </c:catAx>
      <c:valAx>
        <c:axId val="1426403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01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Sales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Central</c:v>
              </c:pt>
              <c:pt idx="1">
                <c:v>East</c:v>
              </c:pt>
              <c:pt idx="2">
                <c:v>North</c:v>
              </c:pt>
              <c:pt idx="3">
                <c:v>South</c:v>
              </c:pt>
              <c:pt idx="4">
                <c:v>West</c:v>
              </c:pt>
            </c:strLit>
          </c:cat>
          <c:val>
            <c:numLit>
              <c:formatCode>General</c:formatCode>
              <c:ptCount val="5"/>
              <c:pt idx="0">
                <c:v>85842.059999999983</c:v>
              </c:pt>
              <c:pt idx="1">
                <c:v>103199.84999999999</c:v>
              </c:pt>
              <c:pt idx="2">
                <c:v>111825.51000000007</c:v>
              </c:pt>
              <c:pt idx="3">
                <c:v>77209.470000000016</c:v>
              </c:pt>
              <c:pt idx="4">
                <c:v>78543.990000000005</c:v>
              </c:pt>
            </c:numLit>
          </c:val>
          <c:extLst>
            <c:ext xmlns:c16="http://schemas.microsoft.com/office/drawing/2014/chart" uri="{C3380CC4-5D6E-409C-BE32-E72D297353CC}">
              <c16:uniqueId val="{00000000-871F-4DD1-93D4-6D1B297A76C5}"/>
            </c:ext>
          </c:extLst>
        </c:ser>
        <c:dLbls>
          <c:showLegendKey val="0"/>
          <c:showVal val="0"/>
          <c:showCatName val="0"/>
          <c:showSerName val="0"/>
          <c:showPercent val="0"/>
          <c:showBubbleSize val="0"/>
        </c:dLbls>
        <c:gapWidth val="219"/>
        <c:overlap val="-27"/>
        <c:axId val="1167140871"/>
        <c:axId val="1167142919"/>
      </c:barChart>
      <c:catAx>
        <c:axId val="116714087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42919"/>
        <c:crosses val="autoZero"/>
        <c:auto val="1"/>
        <c:lblAlgn val="ctr"/>
        <c:lblOffset val="100"/>
        <c:noMultiLvlLbl val="0"/>
      </c:catAx>
      <c:valAx>
        <c:axId val="1167142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40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Sales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Coffee Maker</c:v>
              </c:pt>
              <c:pt idx="1">
                <c:v>Air Fryer</c:v>
              </c:pt>
              <c:pt idx="2">
                <c:v>Cookware Set</c:v>
              </c:pt>
              <c:pt idx="3">
                <c:v>Blender</c:v>
              </c:pt>
              <c:pt idx="4">
                <c:v>Vacuum Cleaner</c:v>
              </c:pt>
              <c:pt idx="5">
                <c:v>Bluetooth Headphones</c:v>
              </c:pt>
              <c:pt idx="6">
                <c:v>Portable Charger</c:v>
              </c:pt>
              <c:pt idx="7">
                <c:v>Winter Jacket</c:v>
              </c:pt>
              <c:pt idx="8">
                <c:v>Wool Sweater</c:v>
              </c:pt>
              <c:pt idx="9">
                <c:v>Smart Speaker</c:v>
              </c:pt>
            </c:strLit>
          </c:cat>
          <c:val>
            <c:numLit>
              <c:formatCode>General</c:formatCode>
              <c:ptCount val="10"/>
              <c:pt idx="0">
                <c:v>62003.869999999995</c:v>
              </c:pt>
              <c:pt idx="1">
                <c:v>48545.39</c:v>
              </c:pt>
              <c:pt idx="2">
                <c:v>46083.21</c:v>
              </c:pt>
              <c:pt idx="3">
                <c:v>36397.019999999997</c:v>
              </c:pt>
              <c:pt idx="4">
                <c:v>35278.579999999994</c:v>
              </c:pt>
              <c:pt idx="5">
                <c:v>26344.94</c:v>
              </c:pt>
              <c:pt idx="6">
                <c:v>23304.059999999998</c:v>
              </c:pt>
              <c:pt idx="7">
                <c:v>22730.899999999994</c:v>
              </c:pt>
              <c:pt idx="8">
                <c:v>21055.61</c:v>
              </c:pt>
              <c:pt idx="9">
                <c:v>19469.46</c:v>
              </c:pt>
            </c:numLit>
          </c:val>
          <c:extLst>
            <c:ext xmlns:c16="http://schemas.microsoft.com/office/drawing/2014/chart" uri="{C3380CC4-5D6E-409C-BE32-E72D297353CC}">
              <c16:uniqueId val="{00000000-8CF7-4670-9205-35557408449B}"/>
            </c:ext>
          </c:extLst>
        </c:ser>
        <c:dLbls>
          <c:showLegendKey val="0"/>
          <c:showVal val="0"/>
          <c:showCatName val="0"/>
          <c:showSerName val="0"/>
          <c:showPercent val="0"/>
          <c:showBubbleSize val="0"/>
        </c:dLbls>
        <c:gapWidth val="182"/>
        <c:axId val="1584604167"/>
        <c:axId val="1584606215"/>
      </c:barChart>
      <c:catAx>
        <c:axId val="1584604167"/>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606215"/>
        <c:crosses val="autoZero"/>
        <c:auto val="1"/>
        <c:lblAlgn val="ctr"/>
        <c:lblOffset val="100"/>
        <c:noMultiLvlLbl val="0"/>
      </c:catAx>
      <c:valAx>
        <c:axId val="1584606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604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504825</xdr:colOff>
      <xdr:row>14</xdr:row>
      <xdr:rowOff>171450</xdr:rowOff>
    </xdr:from>
    <xdr:to>
      <xdr:col>19</xdr:col>
      <xdr:colOff>200025</xdr:colOff>
      <xdr:row>29</xdr:row>
      <xdr:rowOff>57150</xdr:rowOff>
    </xdr:to>
    <xdr:graphicFrame macro="">
      <xdr:nvGraphicFramePr>
        <xdr:cNvPr id="3" name="Chart 2">
          <a:extLst>
            <a:ext uri="{FF2B5EF4-FFF2-40B4-BE49-F238E27FC236}">
              <a16:creationId xmlns:a16="http://schemas.microsoft.com/office/drawing/2014/main" id="{E234779C-2326-E3CB-AF7C-5FEE02FA38EA}"/>
            </a:ext>
            <a:ext uri="{147F2762-F138-4A5C-976F-8EAC2B608ADB}">
              <a16:predDERef xmlns:a16="http://schemas.microsoft.com/office/drawing/2014/main" pred="{1AC913AC-1200-4E6E-BB40-13F5886D2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0</xdr:row>
      <xdr:rowOff>0</xdr:rowOff>
    </xdr:from>
    <xdr:to>
      <xdr:col>10</xdr:col>
      <xdr:colOff>295275</xdr:colOff>
      <xdr:row>14</xdr:row>
      <xdr:rowOff>76200</xdr:rowOff>
    </xdr:to>
    <xdr:graphicFrame macro="">
      <xdr:nvGraphicFramePr>
        <xdr:cNvPr id="4" name="Chart 3">
          <a:extLst>
            <a:ext uri="{FF2B5EF4-FFF2-40B4-BE49-F238E27FC236}">
              <a16:creationId xmlns:a16="http://schemas.microsoft.com/office/drawing/2014/main" id="{E3B85C0F-FAC2-C0F5-4821-750047FF4224}"/>
            </a:ext>
            <a:ext uri="{147F2762-F138-4A5C-976F-8EAC2B608ADB}">
              <a16:predDERef xmlns:a16="http://schemas.microsoft.com/office/drawing/2014/main" pred="{E234779C-2326-E3CB-AF7C-5FEE02FA3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14</xdr:row>
      <xdr:rowOff>171450</xdr:rowOff>
    </xdr:from>
    <xdr:to>
      <xdr:col>10</xdr:col>
      <xdr:colOff>295275</xdr:colOff>
      <xdr:row>29</xdr:row>
      <xdr:rowOff>57150</xdr:rowOff>
    </xdr:to>
    <xdr:graphicFrame macro="">
      <xdr:nvGraphicFramePr>
        <xdr:cNvPr id="5" name="Chart 4">
          <a:extLst>
            <a:ext uri="{FF2B5EF4-FFF2-40B4-BE49-F238E27FC236}">
              <a16:creationId xmlns:a16="http://schemas.microsoft.com/office/drawing/2014/main" id="{54377776-8AB5-50D4-25AA-7C336C57238F}"/>
            </a:ext>
            <a:ext uri="{147F2762-F138-4A5C-976F-8EAC2B608ADB}">
              <a16:predDERef xmlns:a16="http://schemas.microsoft.com/office/drawing/2014/main" pred="{E3B85C0F-FAC2-C0F5-4821-750047FF4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495300</xdr:colOff>
      <xdr:row>0</xdr:row>
      <xdr:rowOff>0</xdr:rowOff>
    </xdr:from>
    <xdr:to>
      <xdr:col>19</xdr:col>
      <xdr:colOff>190500</xdr:colOff>
      <xdr:row>14</xdr:row>
      <xdr:rowOff>76200</xdr:rowOff>
    </xdr:to>
    <xdr:graphicFrame macro="">
      <xdr:nvGraphicFramePr>
        <xdr:cNvPr id="6" name="Chart 5">
          <a:extLst>
            <a:ext uri="{FF2B5EF4-FFF2-40B4-BE49-F238E27FC236}">
              <a16:creationId xmlns:a16="http://schemas.microsoft.com/office/drawing/2014/main" id="{CA880974-9060-9D63-F9A9-C79A90FFAE05}"/>
            </a:ext>
            <a:ext uri="{147F2762-F138-4A5C-976F-8EAC2B608ADB}">
              <a16:predDERef xmlns:a16="http://schemas.microsoft.com/office/drawing/2014/main" pred="{54377776-8AB5-50D4-25AA-7C336C572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0</xdr:colOff>
      <xdr:row>1</xdr:row>
      <xdr:rowOff>0</xdr:rowOff>
    </xdr:from>
    <xdr:to>
      <xdr:col>22</xdr:col>
      <xdr:colOff>346075</xdr:colOff>
      <xdr:row>10</xdr:row>
      <xdr:rowOff>133350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74DA227A-9BDF-47A3-8D25-73FC01B383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585950" y="184150"/>
              <a:ext cx="1736725" cy="252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561975</xdr:colOff>
      <xdr:row>11</xdr:row>
      <xdr:rowOff>123825</xdr:rowOff>
    </xdr:from>
    <xdr:to>
      <xdr:col>22</xdr:col>
      <xdr:colOff>571500</xdr:colOff>
      <xdr:row>25</xdr:row>
      <xdr:rowOff>171450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B07F240A-FAC3-4038-8A14-55A37F23226C}"/>
                </a:ext>
                <a:ext uri="{147F2762-F138-4A5C-976F-8EAC2B608ADB}">
                  <a16:predDERef xmlns:a16="http://schemas.microsoft.com/office/drawing/2014/main" pred="{74DA227A-9BDF-47A3-8D25-73FC01B383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586200" y="184150"/>
              <a:ext cx="1828800" cy="2549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419100</xdr:colOff>
      <xdr:row>1</xdr:row>
      <xdr:rowOff>19050</xdr:rowOff>
    </xdr:from>
    <xdr:to>
      <xdr:col>25</xdr:col>
      <xdr:colOff>381000</xdr:colOff>
      <xdr:row>11</xdr:row>
      <xdr:rowOff>3175</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2E1C1CCA-5B75-4635-B9DB-473942176211}"/>
                </a:ext>
                <a:ext uri="{147F2762-F138-4A5C-976F-8EAC2B608ADB}">
                  <a16:predDERef xmlns:a16="http://schemas.microsoft.com/office/drawing/2014/main" pred="{B07F240A-FAC3-4038-8A14-55A37F23226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195550" y="2940050"/>
              <a:ext cx="1828800" cy="2549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9.549590162038" createdVersion="8" refreshedVersion="8" minRefreshableVersion="3" recordCount="800" xr:uid="{489A0659-ABF8-4178-B76F-815FC5E3E971}">
  <cacheSource type="worksheet">
    <worksheetSource name="SalesData"/>
  </cacheSource>
  <cacheFields count="12">
    <cacheField name="Order ID" numFmtId="0">
      <sharedItems/>
    </cacheField>
    <cacheField name="Order Date" numFmtId="164">
      <sharedItems containsSemiMixedTypes="0" containsNonDate="0" containsDate="1" containsString="0" minDate="2025-01-01T00:00:00" maxDate="2025-12-31T00:00:00"/>
    </cacheField>
    <cacheField name="Customer Name" numFmtId="0">
      <sharedItems/>
    </cacheField>
    <cacheField name="Region" numFmtId="0">
      <sharedItems count="5">
        <s v="East"/>
        <s v="South"/>
        <s v="North"/>
        <s v="Central"/>
        <s v="West"/>
      </sharedItems>
    </cacheField>
    <cacheField name="Category" numFmtId="0">
      <sharedItems count="5">
        <s v="Grocery"/>
        <s v="Electronics"/>
        <s v="Home &amp; Kitchen"/>
        <s v="Office Supplies"/>
        <s v="Apparel"/>
      </sharedItems>
    </cacheField>
    <cacheField name="Product" numFmtId="0">
      <sharedItems count="25">
        <s v="Protein Bars (12pk)"/>
        <s v="Trail Mix"/>
        <s v="Bluetooth Headphones"/>
        <s v="Pasta Sauce"/>
        <s v="Cookware Set"/>
        <s v="Notebook Pack"/>
        <s v="Winter Jacket"/>
        <s v="Desk Organizer"/>
        <s v="Vacuum Cleaner"/>
        <s v="Smart Speaker"/>
        <s v="Denim Jeans"/>
        <s v="Coffee Maker"/>
        <s v="Rain Boots"/>
        <s v="Wool Sweater"/>
        <s v="Breakfast Cereal"/>
        <s v="Ink Cartridge"/>
        <s v="Portable Charger"/>
        <s v="USB-C Cable"/>
        <s v="Olive Oil"/>
        <s v="Wireless Mouse"/>
        <s v="Stapler"/>
        <s v="Running Shoes"/>
        <s v="Blender"/>
        <s v="Printer Paper"/>
        <s v="Air Fryer"/>
      </sharedItems>
    </cacheField>
    <cacheField name="Sales" numFmtId="0">
      <sharedItems containsSemiMixedTypes="0" containsString="0" containsNumber="1" minValue="5.2" maxValue="6871.71"/>
    </cacheField>
    <cacheField name="Profit" numFmtId="0">
      <sharedItems containsSemiMixedTypes="0" containsString="0" containsNumber="1" minValue="-238.41" maxValue="1648.86"/>
    </cacheField>
    <cacheField name="Quantity" numFmtId="0">
      <sharedItems containsSemiMixedTypes="0" containsString="0" containsNumber="1" containsInteger="1" minValue="1" maxValue="6"/>
    </cacheField>
    <cacheField name="Month" numFmtId="0">
      <sharedItems count="12">
        <s v="Nov"/>
        <s v="Jan"/>
        <s v="Aug"/>
        <s v="Jun"/>
        <s v="Mar"/>
        <s v="Apr"/>
        <s v="Jul"/>
        <s v="May"/>
        <s v="Dec"/>
        <s v="Feb"/>
        <s v="Sep"/>
        <s v="Oct"/>
      </sharedItems>
    </cacheField>
    <cacheField name="Year" numFmtId="0">
      <sharedItems containsSemiMixedTypes="0" containsString="0" containsNumber="1" containsInteger="1" minValue="2025" maxValue="2025" count="1">
        <n v="2025"/>
      </sharedItems>
    </cacheField>
    <cacheField name="Profit Margin " numFmtId="165">
      <sharedItems containsSemiMixedTypes="0" containsString="0" containsNumber="1" minValue="-0.13795802411873842" maxValue="0.34993128237657256"/>
    </cacheField>
  </cacheFields>
  <extLst>
    <ext xmlns:x14="http://schemas.microsoft.com/office/spreadsheetml/2009/9/main" uri="{725AE2AE-9491-48be-B2B4-4EB974FC3084}">
      <x14:pivotCacheDefinition pivotCacheId="155721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ORD-100001"/>
    <d v="2025-11-24T00:00:00"/>
    <s v="Matthew Zimmerman"/>
    <x v="0"/>
    <x v="0"/>
    <x v="0"/>
    <n v="59.98"/>
    <n v="7.91"/>
    <n v="6"/>
    <x v="0"/>
    <x v="0"/>
    <n v="0.13187729243081028"/>
  </r>
  <r>
    <s v="ORD-100002"/>
    <d v="2025-01-17T00:00:00"/>
    <s v="Dennis Allen"/>
    <x v="1"/>
    <x v="0"/>
    <x v="1"/>
    <n v="19.03"/>
    <n v="3"/>
    <n v="1"/>
    <x v="1"/>
    <x v="0"/>
    <n v="0.15764582238570676"/>
  </r>
  <r>
    <s v="ORD-100003"/>
    <d v="2025-08-03T00:00:00"/>
    <s v="Linda Thomas"/>
    <x v="2"/>
    <x v="1"/>
    <x v="2"/>
    <n v="500.78"/>
    <n v="84.16"/>
    <n v="2"/>
    <x v="2"/>
    <x v="0"/>
    <n v="0.16805782978553457"/>
  </r>
  <r>
    <s v="ORD-100004"/>
    <d v="2025-06-22T00:00:00"/>
    <s v="Matthew Allen"/>
    <x v="3"/>
    <x v="0"/>
    <x v="3"/>
    <n v="58.05"/>
    <n v="3.28"/>
    <n v="5"/>
    <x v="3"/>
    <x v="0"/>
    <n v="5.6503014642549525E-2"/>
  </r>
  <r>
    <s v="ORD-100005"/>
    <d v="2025-03-05T00:00:00"/>
    <s v="Emily Taylor"/>
    <x v="4"/>
    <x v="2"/>
    <x v="4"/>
    <n v="1609.56"/>
    <n v="321.55"/>
    <n v="3"/>
    <x v="4"/>
    <x v="0"/>
    <n v="0.19977509381445863"/>
  </r>
  <r>
    <s v="ORD-100006"/>
    <d v="2025-04-27T00:00:00"/>
    <s v="Daniel Miller"/>
    <x v="4"/>
    <x v="3"/>
    <x v="5"/>
    <n v="81.16"/>
    <n v="15.85"/>
    <n v="4"/>
    <x v="5"/>
    <x v="0"/>
    <n v="0.19529324790537211"/>
  </r>
  <r>
    <s v="ORD-100007"/>
    <d v="2025-07-09T00:00:00"/>
    <s v="Jennifer Smith"/>
    <x v="0"/>
    <x v="4"/>
    <x v="6"/>
    <n v="839.35"/>
    <n v="196.02"/>
    <n v="5"/>
    <x v="6"/>
    <x v="0"/>
    <n v="0.23353785667480789"/>
  </r>
  <r>
    <s v="ORD-100008"/>
    <d v="2025-08-25T00:00:00"/>
    <s v="David Davis"/>
    <x v="2"/>
    <x v="0"/>
    <x v="3"/>
    <n v="10.73"/>
    <n v="0.59"/>
    <n v="1"/>
    <x v="2"/>
    <x v="0"/>
    <n v="5.498602050326188E-2"/>
  </r>
  <r>
    <s v="ORD-100009"/>
    <d v="2025-05-18T00:00:00"/>
    <s v="Kaden Smith"/>
    <x v="2"/>
    <x v="3"/>
    <x v="7"/>
    <n v="82.1"/>
    <n v="13.08"/>
    <n v="2"/>
    <x v="7"/>
    <x v="0"/>
    <n v="0.15931790499390988"/>
  </r>
  <r>
    <s v="ORD-100010"/>
    <d v="2025-08-23T00:00:00"/>
    <s v="Rita Davis"/>
    <x v="1"/>
    <x v="0"/>
    <x v="1"/>
    <n v="57.85"/>
    <n v="7.97"/>
    <n v="5"/>
    <x v="2"/>
    <x v="0"/>
    <n v="0.13777009507346585"/>
  </r>
  <r>
    <s v="ORD-100011"/>
    <d v="2025-07-24T00:00:00"/>
    <s v="Jennifer Brown"/>
    <x v="1"/>
    <x v="2"/>
    <x v="8"/>
    <n v="780.55"/>
    <n v="82.73"/>
    <n v="1"/>
    <x v="6"/>
    <x v="0"/>
    <n v="0.10598936647235925"/>
  </r>
  <r>
    <s v="ORD-100012"/>
    <d v="2025-12-15T00:00:00"/>
    <s v="Elizabeth Thompson"/>
    <x v="4"/>
    <x v="1"/>
    <x v="9"/>
    <n v="1083.06"/>
    <n v="-147.38"/>
    <n v="4"/>
    <x v="8"/>
    <x v="0"/>
    <n v="-0.13607741030044504"/>
  </r>
  <r>
    <s v="ORD-100013"/>
    <d v="2025-02-28T00:00:00"/>
    <s v="Nancy Harris"/>
    <x v="0"/>
    <x v="4"/>
    <x v="10"/>
    <n v="91.04"/>
    <n v="-6.35"/>
    <n v="1"/>
    <x v="9"/>
    <x v="0"/>
    <n v="-6.9749560632688917E-2"/>
  </r>
  <r>
    <s v="ORD-100014"/>
    <d v="2025-05-15T00:00:00"/>
    <s v="Richard Johnson"/>
    <x v="2"/>
    <x v="3"/>
    <x v="7"/>
    <n v="197.52"/>
    <n v="25.65"/>
    <n v="6"/>
    <x v="7"/>
    <x v="0"/>
    <n v="0.12986026731470229"/>
  </r>
  <r>
    <s v="ORD-100015"/>
    <d v="2025-03-24T00:00:00"/>
    <s v="Jessica White"/>
    <x v="4"/>
    <x v="2"/>
    <x v="11"/>
    <n v="136.21"/>
    <n v="19.3"/>
    <n v="1"/>
    <x v="4"/>
    <x v="0"/>
    <n v="0.14169297408413478"/>
  </r>
  <r>
    <s v="ORD-100016"/>
    <d v="2025-06-07T00:00:00"/>
    <s v="Linda Carpenter"/>
    <x v="1"/>
    <x v="3"/>
    <x v="5"/>
    <n v="45.25"/>
    <n v="10.06"/>
    <n v="1"/>
    <x v="3"/>
    <x v="0"/>
    <n v="0.22232044198895029"/>
  </r>
  <r>
    <s v="ORD-100017"/>
    <d v="2025-09-30T00:00:00"/>
    <s v="Daniel Ruiz"/>
    <x v="1"/>
    <x v="4"/>
    <x v="12"/>
    <n v="169.28"/>
    <n v="53.85"/>
    <n v="2"/>
    <x v="10"/>
    <x v="0"/>
    <n v="0.31811200378071836"/>
  </r>
  <r>
    <s v="ORD-100018"/>
    <d v="2025-04-19T00:00:00"/>
    <s v="Emily Harris"/>
    <x v="1"/>
    <x v="4"/>
    <x v="13"/>
    <n v="1027.32"/>
    <n v="215.25"/>
    <n v="6"/>
    <x v="5"/>
    <x v="0"/>
    <n v="0.20952575633687653"/>
  </r>
  <r>
    <s v="ORD-100019"/>
    <d v="2025-03-03T00:00:00"/>
    <s v="Linda Brown"/>
    <x v="4"/>
    <x v="1"/>
    <x v="9"/>
    <n v="479.7"/>
    <n v="69.099999999999994"/>
    <n v="5"/>
    <x v="4"/>
    <x v="0"/>
    <n v="0.14404836356055867"/>
  </r>
  <r>
    <s v="ORD-100020"/>
    <d v="2025-11-20T00:00:00"/>
    <s v="Marie Brown"/>
    <x v="4"/>
    <x v="3"/>
    <x v="7"/>
    <n v="39.39"/>
    <n v="6.81"/>
    <n v="1"/>
    <x v="0"/>
    <x v="0"/>
    <n v="0.17288651942117286"/>
  </r>
  <r>
    <s v="ORD-100021"/>
    <d v="2025-10-20T00:00:00"/>
    <s v="Joseph Jackson"/>
    <x v="1"/>
    <x v="4"/>
    <x v="13"/>
    <n v="92.44"/>
    <n v="24.47"/>
    <n v="2"/>
    <x v="11"/>
    <x v="0"/>
    <n v="0.26471224578104718"/>
  </r>
  <r>
    <s v="ORD-100022"/>
    <d v="2025-07-30T00:00:00"/>
    <s v="William Carpenter"/>
    <x v="4"/>
    <x v="0"/>
    <x v="3"/>
    <n v="11.22"/>
    <n v="0.88"/>
    <n v="1"/>
    <x v="6"/>
    <x v="0"/>
    <n v="7.8431372549019607E-2"/>
  </r>
  <r>
    <s v="ORD-100023"/>
    <d v="2025-08-05T00:00:00"/>
    <s v="Sarah Davis"/>
    <x v="3"/>
    <x v="0"/>
    <x v="14"/>
    <n v="100.8"/>
    <n v="17.98"/>
    <n v="4"/>
    <x v="2"/>
    <x v="0"/>
    <n v="0.17837301587301588"/>
  </r>
  <r>
    <s v="ORD-100024"/>
    <d v="2025-11-30T00:00:00"/>
    <s v="Jessica Zimmerman"/>
    <x v="4"/>
    <x v="3"/>
    <x v="15"/>
    <n v="68.069999999999993"/>
    <n v="15.64"/>
    <n v="2"/>
    <x v="0"/>
    <x v="0"/>
    <n v="0.22976347877185255"/>
  </r>
  <r>
    <s v="ORD-100025"/>
    <d v="2025-03-26T00:00:00"/>
    <s v="David Zimmerman"/>
    <x v="3"/>
    <x v="1"/>
    <x v="16"/>
    <n v="478.77"/>
    <n v="139.54"/>
    <n v="3"/>
    <x v="4"/>
    <x v="0"/>
    <n v="0.29145518725066316"/>
  </r>
  <r>
    <s v="ORD-100026"/>
    <d v="2025-10-12T00:00:00"/>
    <s v="Nancy Jackson"/>
    <x v="1"/>
    <x v="0"/>
    <x v="0"/>
    <n v="19.48"/>
    <n v="2.56"/>
    <n v="1"/>
    <x v="11"/>
    <x v="0"/>
    <n v="0.13141683778234087"/>
  </r>
  <r>
    <s v="ORD-100027"/>
    <d v="2025-01-30T00:00:00"/>
    <s v="Marie Martin"/>
    <x v="3"/>
    <x v="2"/>
    <x v="4"/>
    <n v="177.84"/>
    <n v="29.58"/>
    <n v="2"/>
    <x v="1"/>
    <x v="0"/>
    <n v="0.16632928475033737"/>
  </r>
  <r>
    <s v="ORD-100028"/>
    <d v="2025-02-05T00:00:00"/>
    <s v="Karen Allen"/>
    <x v="1"/>
    <x v="1"/>
    <x v="9"/>
    <n v="422.08"/>
    <n v="45.56"/>
    <n v="2"/>
    <x v="9"/>
    <x v="0"/>
    <n v="0.10794162244124338"/>
  </r>
  <r>
    <s v="ORD-100029"/>
    <d v="2025-12-03T00:00:00"/>
    <s v="Joseph Martin"/>
    <x v="2"/>
    <x v="1"/>
    <x v="17"/>
    <n v="575.65"/>
    <n v="88.15"/>
    <n v="2"/>
    <x v="8"/>
    <x v="0"/>
    <n v="0.15313124294276037"/>
  </r>
  <r>
    <s v="ORD-100030"/>
    <d v="2025-11-27T00:00:00"/>
    <s v="Patricia Thomas"/>
    <x v="0"/>
    <x v="3"/>
    <x v="5"/>
    <n v="42.28"/>
    <n v="10.55"/>
    <n v="1"/>
    <x v="0"/>
    <x v="0"/>
    <n v="0.24952696310312206"/>
  </r>
  <r>
    <s v="ORD-100031"/>
    <d v="2025-04-20T00:00:00"/>
    <s v="Richard Davis"/>
    <x v="1"/>
    <x v="3"/>
    <x v="5"/>
    <n v="50.64"/>
    <n v="6.26"/>
    <n v="2"/>
    <x v="5"/>
    <x v="0"/>
    <n v="0.12361769352290679"/>
  </r>
  <r>
    <s v="ORD-100032"/>
    <d v="2025-12-27T00:00:00"/>
    <s v="Patricia Thompson"/>
    <x v="2"/>
    <x v="0"/>
    <x v="1"/>
    <n v="95.99"/>
    <n v="17.440000000000001"/>
    <n v="3"/>
    <x v="8"/>
    <x v="0"/>
    <n v="0.18168559224919265"/>
  </r>
  <r>
    <s v="ORD-100033"/>
    <d v="2025-02-24T00:00:00"/>
    <s v="Betty Harris"/>
    <x v="1"/>
    <x v="1"/>
    <x v="9"/>
    <n v="513.62"/>
    <n v="72.28"/>
    <n v="2"/>
    <x v="9"/>
    <x v="0"/>
    <n v="0.14072660721934505"/>
  </r>
  <r>
    <s v="ORD-100034"/>
    <d v="2025-05-16T00:00:00"/>
    <s v="Richard Jackson"/>
    <x v="0"/>
    <x v="3"/>
    <x v="5"/>
    <n v="39.89"/>
    <n v="8.9499999999999993"/>
    <n v="1"/>
    <x v="7"/>
    <x v="0"/>
    <n v="0.22436700927550762"/>
  </r>
  <r>
    <s v="ORD-100035"/>
    <d v="2025-06-20T00:00:00"/>
    <s v="Daniel Ruiz"/>
    <x v="0"/>
    <x v="0"/>
    <x v="18"/>
    <n v="113.2"/>
    <n v="15.18"/>
    <n v="5"/>
    <x v="3"/>
    <x v="0"/>
    <n v="0.13409893992932861"/>
  </r>
  <r>
    <s v="ORD-100036"/>
    <d v="2025-12-20T00:00:00"/>
    <s v="Mark Ruiz"/>
    <x v="2"/>
    <x v="0"/>
    <x v="3"/>
    <n v="115.58"/>
    <n v="6.5"/>
    <n v="5"/>
    <x v="8"/>
    <x v="0"/>
    <n v="5.6238103478110403E-2"/>
  </r>
  <r>
    <s v="ORD-100037"/>
    <d v="2025-01-21T00:00:00"/>
    <s v="Mark Moore"/>
    <x v="1"/>
    <x v="4"/>
    <x v="6"/>
    <n v="601.59"/>
    <n v="193.13"/>
    <n v="3"/>
    <x v="1"/>
    <x v="0"/>
    <n v="0.32103259695141206"/>
  </r>
  <r>
    <s v="ORD-100038"/>
    <d v="2025-11-14T00:00:00"/>
    <s v="Betty Ruiz"/>
    <x v="1"/>
    <x v="3"/>
    <x v="15"/>
    <n v="33.61"/>
    <n v="5.04"/>
    <n v="4"/>
    <x v="0"/>
    <x v="0"/>
    <n v="0.14995537042546861"/>
  </r>
  <r>
    <s v="ORD-100039"/>
    <d v="2025-12-09T00:00:00"/>
    <s v="Ashley Brown"/>
    <x v="0"/>
    <x v="0"/>
    <x v="14"/>
    <n v="145.53"/>
    <n v="12.13"/>
    <n v="4"/>
    <x v="8"/>
    <x v="0"/>
    <n v="8.3350511921940498E-2"/>
  </r>
  <r>
    <s v="ORD-100040"/>
    <d v="2025-08-24T00:00:00"/>
    <s v="Jennifer Miller"/>
    <x v="1"/>
    <x v="0"/>
    <x v="0"/>
    <n v="52.84"/>
    <n v="9.49"/>
    <n v="4"/>
    <x v="2"/>
    <x v="0"/>
    <n v="0.17959878879636637"/>
  </r>
  <r>
    <s v="ORD-100041"/>
    <d v="2025-05-23T00:00:00"/>
    <s v="Jennifer White"/>
    <x v="3"/>
    <x v="4"/>
    <x v="12"/>
    <n v="708.99"/>
    <n v="91.34"/>
    <n v="3"/>
    <x v="7"/>
    <x v="0"/>
    <n v="0.12883115417706878"/>
  </r>
  <r>
    <s v="ORD-100042"/>
    <d v="2025-04-02T00:00:00"/>
    <s v="Joseph Davis"/>
    <x v="4"/>
    <x v="0"/>
    <x v="18"/>
    <n v="69.63"/>
    <n v="6.76"/>
    <n v="3"/>
    <x v="5"/>
    <x v="0"/>
    <n v="9.7084589975585237E-2"/>
  </r>
  <r>
    <s v="ORD-100043"/>
    <d v="2025-09-19T00:00:00"/>
    <s v="Matthew Taylor"/>
    <x v="2"/>
    <x v="0"/>
    <x v="14"/>
    <n v="95.4"/>
    <n v="12.21"/>
    <n v="6"/>
    <x v="10"/>
    <x v="0"/>
    <n v="0.1279874213836478"/>
  </r>
  <r>
    <s v="ORD-100044"/>
    <d v="2025-12-18T00:00:00"/>
    <s v="Betty Smith"/>
    <x v="0"/>
    <x v="1"/>
    <x v="17"/>
    <n v="836.95"/>
    <n v="204.17"/>
    <n v="5"/>
    <x v="8"/>
    <x v="0"/>
    <n v="0.24394527749566877"/>
  </r>
  <r>
    <s v="ORD-100045"/>
    <d v="2025-06-08T00:00:00"/>
    <s v="Nancy Anderson"/>
    <x v="0"/>
    <x v="1"/>
    <x v="17"/>
    <n v="310"/>
    <n v="57.07"/>
    <n v="5"/>
    <x v="3"/>
    <x v="0"/>
    <n v="0.18409677419354839"/>
  </r>
  <r>
    <s v="ORD-100046"/>
    <d v="2025-12-13T00:00:00"/>
    <s v="Betty Johnson"/>
    <x v="2"/>
    <x v="2"/>
    <x v="11"/>
    <n v="4508.55"/>
    <n v="521.78"/>
    <n v="5"/>
    <x v="8"/>
    <x v="0"/>
    <n v="0.11573122178971065"/>
  </r>
  <r>
    <s v="ORD-100047"/>
    <d v="2025-11-07T00:00:00"/>
    <s v="Thomas Wilson"/>
    <x v="3"/>
    <x v="1"/>
    <x v="19"/>
    <n v="1206.94"/>
    <n v="312.83999999999997"/>
    <n v="5"/>
    <x v="0"/>
    <x v="0"/>
    <n v="0.25920095447992442"/>
  </r>
  <r>
    <s v="ORD-100048"/>
    <d v="2025-02-13T00:00:00"/>
    <s v="Patricia White"/>
    <x v="2"/>
    <x v="1"/>
    <x v="19"/>
    <n v="734.64"/>
    <n v="191.97"/>
    <n v="6"/>
    <x v="9"/>
    <x v="0"/>
    <n v="0.26131166285527607"/>
  </r>
  <r>
    <s v="ORD-100049"/>
    <d v="2025-01-24T00:00:00"/>
    <s v="Linda Jackson"/>
    <x v="2"/>
    <x v="4"/>
    <x v="6"/>
    <n v="473"/>
    <n v="121.77"/>
    <n v="4"/>
    <x v="1"/>
    <x v="0"/>
    <n v="0.25744186046511625"/>
  </r>
  <r>
    <s v="ORD-100050"/>
    <d v="2025-12-23T00:00:00"/>
    <s v="David Jackson"/>
    <x v="3"/>
    <x v="0"/>
    <x v="14"/>
    <n v="28.51"/>
    <n v="4.8600000000000003"/>
    <n v="1"/>
    <x v="8"/>
    <x v="0"/>
    <n v="0.17046650298141003"/>
  </r>
  <r>
    <s v="ORD-100051"/>
    <d v="2025-08-26T00:00:00"/>
    <s v="Marie Harris"/>
    <x v="1"/>
    <x v="3"/>
    <x v="5"/>
    <n v="49.32"/>
    <n v="8.3699999999999992"/>
    <n v="4"/>
    <x v="2"/>
    <x v="0"/>
    <n v="0.16970802919708028"/>
  </r>
  <r>
    <s v="ORD-100052"/>
    <d v="2025-10-14T00:00:00"/>
    <s v="Karen Wilson"/>
    <x v="3"/>
    <x v="4"/>
    <x v="12"/>
    <n v="847.52"/>
    <n v="200.84"/>
    <n v="4"/>
    <x v="11"/>
    <x v="0"/>
    <n v="0.23697375873135737"/>
  </r>
  <r>
    <s v="ORD-100053"/>
    <d v="2025-09-01T00:00:00"/>
    <s v="William Davis"/>
    <x v="1"/>
    <x v="4"/>
    <x v="10"/>
    <n v="670.15"/>
    <n v="107.1"/>
    <n v="5"/>
    <x v="10"/>
    <x v="0"/>
    <n v="0.15981496679847795"/>
  </r>
  <r>
    <s v="ORD-100054"/>
    <d v="2025-05-27T00:00:00"/>
    <s v="Linda Davis"/>
    <x v="0"/>
    <x v="1"/>
    <x v="9"/>
    <n v="65.66"/>
    <n v="9.6"/>
    <n v="1"/>
    <x v="7"/>
    <x v="0"/>
    <n v="0.14620773682607371"/>
  </r>
  <r>
    <s v="ORD-100055"/>
    <d v="2025-12-28T00:00:00"/>
    <s v="James Allen"/>
    <x v="3"/>
    <x v="1"/>
    <x v="9"/>
    <n v="730.74"/>
    <n v="134.47999999999999"/>
    <n v="4"/>
    <x v="8"/>
    <x v="0"/>
    <n v="0.18403262446287325"/>
  </r>
  <r>
    <s v="ORD-100056"/>
    <d v="2025-10-27T00:00:00"/>
    <s v="Charles Zimmerman"/>
    <x v="2"/>
    <x v="1"/>
    <x v="2"/>
    <n v="355.62"/>
    <n v="63.3"/>
    <n v="3"/>
    <x v="11"/>
    <x v="0"/>
    <n v="0.17799898768348235"/>
  </r>
  <r>
    <s v="ORD-100057"/>
    <d v="2025-08-03T00:00:00"/>
    <s v="Jessica Harris"/>
    <x v="2"/>
    <x v="3"/>
    <x v="20"/>
    <n v="40.020000000000003"/>
    <n v="6.92"/>
    <n v="2"/>
    <x v="2"/>
    <x v="0"/>
    <n v="0.17291354322838579"/>
  </r>
  <r>
    <s v="ORD-100058"/>
    <d v="2025-12-09T00:00:00"/>
    <s v="Nancy Taylor"/>
    <x v="1"/>
    <x v="4"/>
    <x v="21"/>
    <n v="995.99"/>
    <n v="246.98"/>
    <n v="5"/>
    <x v="8"/>
    <x v="0"/>
    <n v="0.24797437725278365"/>
  </r>
  <r>
    <s v="ORD-100059"/>
    <d v="2025-02-12T00:00:00"/>
    <s v="Thomas Anderson"/>
    <x v="1"/>
    <x v="3"/>
    <x v="15"/>
    <n v="19.309999999999999"/>
    <n v="2.88"/>
    <n v="1"/>
    <x v="9"/>
    <x v="0"/>
    <n v="0.14914552045572244"/>
  </r>
  <r>
    <s v="ORD-100060"/>
    <d v="2025-06-22T00:00:00"/>
    <s v="Daniel Taylor"/>
    <x v="0"/>
    <x v="4"/>
    <x v="13"/>
    <n v="638.54999999999995"/>
    <n v="138.93"/>
    <n v="3"/>
    <x v="3"/>
    <x v="0"/>
    <n v="0.21757105943152458"/>
  </r>
  <r>
    <s v="ORD-100061"/>
    <d v="2025-01-27T00:00:00"/>
    <s v="Jennifer Brown"/>
    <x v="4"/>
    <x v="4"/>
    <x v="6"/>
    <n v="238.66"/>
    <n v="-17.88"/>
    <n v="1"/>
    <x v="1"/>
    <x v="0"/>
    <n v="-7.4918293807089587E-2"/>
  </r>
  <r>
    <s v="ORD-100062"/>
    <d v="2025-03-20T00:00:00"/>
    <s v="Linda Ruiz"/>
    <x v="3"/>
    <x v="4"/>
    <x v="12"/>
    <n v="259.26"/>
    <n v="42.53"/>
    <n v="2"/>
    <x v="4"/>
    <x v="0"/>
    <n v="0.16404381701766568"/>
  </r>
  <r>
    <s v="ORD-100063"/>
    <d v="2025-11-07T00:00:00"/>
    <s v="Karen Alvarado"/>
    <x v="1"/>
    <x v="3"/>
    <x v="5"/>
    <n v="38.25"/>
    <n v="7.71"/>
    <n v="5"/>
    <x v="0"/>
    <x v="0"/>
    <n v="0.20156862745098039"/>
  </r>
  <r>
    <s v="ORD-100064"/>
    <d v="2025-07-23T00:00:00"/>
    <s v="Charles Smith"/>
    <x v="4"/>
    <x v="2"/>
    <x v="22"/>
    <n v="639.59"/>
    <n v="83.96"/>
    <n v="1"/>
    <x v="6"/>
    <x v="0"/>
    <n v="0.13127159586610171"/>
  </r>
  <r>
    <s v="ORD-100065"/>
    <d v="2025-03-03T00:00:00"/>
    <s v="Sandra Martin"/>
    <x v="4"/>
    <x v="1"/>
    <x v="16"/>
    <n v="853.74"/>
    <n v="171.77"/>
    <n v="6"/>
    <x v="4"/>
    <x v="0"/>
    <n v="0.2011970857638157"/>
  </r>
  <r>
    <s v="ORD-100066"/>
    <d v="2025-08-04T00:00:00"/>
    <s v="Paul Jackson"/>
    <x v="4"/>
    <x v="1"/>
    <x v="17"/>
    <n v="1885.32"/>
    <n v="361.88"/>
    <n v="6"/>
    <x v="2"/>
    <x v="0"/>
    <n v="0.19194619481043007"/>
  </r>
  <r>
    <s v="ORD-100067"/>
    <d v="2025-04-01T00:00:00"/>
    <s v="Betty White"/>
    <x v="0"/>
    <x v="4"/>
    <x v="12"/>
    <n v="518.4"/>
    <n v="158.86000000000001"/>
    <n v="4"/>
    <x v="5"/>
    <x v="0"/>
    <n v="0.30644290123456797"/>
  </r>
  <r>
    <s v="ORD-100068"/>
    <d v="2025-06-15T00:00:00"/>
    <s v="Ashley Brown"/>
    <x v="4"/>
    <x v="1"/>
    <x v="16"/>
    <n v="535.32000000000005"/>
    <n v="114.54"/>
    <n v="2"/>
    <x v="3"/>
    <x v="0"/>
    <n v="0.21396547859224388"/>
  </r>
  <r>
    <s v="ORD-100069"/>
    <d v="2025-06-22T00:00:00"/>
    <s v="Dennis Jackson"/>
    <x v="0"/>
    <x v="0"/>
    <x v="0"/>
    <n v="74.849999999999994"/>
    <n v="7.56"/>
    <n v="3"/>
    <x v="3"/>
    <x v="0"/>
    <n v="0.10100200400801604"/>
  </r>
  <r>
    <s v="ORD-100070"/>
    <d v="2025-12-26T00:00:00"/>
    <s v="Mark Davis"/>
    <x v="2"/>
    <x v="0"/>
    <x v="0"/>
    <n v="13.48"/>
    <n v="1.8"/>
    <n v="1"/>
    <x v="8"/>
    <x v="0"/>
    <n v="0.13353115727002968"/>
  </r>
  <r>
    <s v="ORD-100071"/>
    <d v="2025-09-01T00:00:00"/>
    <s v="Thomas Jackson"/>
    <x v="3"/>
    <x v="4"/>
    <x v="6"/>
    <n v="224.58"/>
    <n v="61.3"/>
    <n v="3"/>
    <x v="10"/>
    <x v="0"/>
    <n v="0.27295395850031168"/>
  </r>
  <r>
    <s v="ORD-100072"/>
    <d v="2025-10-25T00:00:00"/>
    <s v="Jennifer Jackson"/>
    <x v="2"/>
    <x v="2"/>
    <x v="11"/>
    <n v="3079.98"/>
    <n v="430.61"/>
    <n v="6"/>
    <x v="11"/>
    <x v="0"/>
    <n v="0.13980934941135981"/>
  </r>
  <r>
    <s v="ORD-100073"/>
    <d v="2025-06-06T00:00:00"/>
    <s v="Robert Brown"/>
    <x v="4"/>
    <x v="4"/>
    <x v="10"/>
    <n v="192.15"/>
    <n v="64.89"/>
    <n v="1"/>
    <x v="3"/>
    <x v="0"/>
    <n v="0.3377049180327869"/>
  </r>
  <r>
    <s v="ORD-100074"/>
    <d v="2025-04-09T00:00:00"/>
    <s v="James Jackson"/>
    <x v="0"/>
    <x v="4"/>
    <x v="12"/>
    <n v="443.35"/>
    <n v="55.48"/>
    <n v="5"/>
    <x v="5"/>
    <x v="0"/>
    <n v="0.12513815270102627"/>
  </r>
  <r>
    <s v="ORD-100075"/>
    <d v="2025-04-27T00:00:00"/>
    <s v="Jennifer Johnson"/>
    <x v="0"/>
    <x v="0"/>
    <x v="1"/>
    <n v="23.72"/>
    <n v="4.6500000000000004"/>
    <n v="2"/>
    <x v="5"/>
    <x v="0"/>
    <n v="0.19603709949409784"/>
  </r>
  <r>
    <s v="ORD-100076"/>
    <d v="2025-12-24T00:00:00"/>
    <s v="Rita Jackson"/>
    <x v="4"/>
    <x v="3"/>
    <x v="23"/>
    <n v="113.92"/>
    <n v="14.54"/>
    <n v="3"/>
    <x v="8"/>
    <x v="0"/>
    <n v="0.12763342696629212"/>
  </r>
  <r>
    <s v="ORD-100077"/>
    <d v="2025-09-02T00:00:00"/>
    <s v="Matthew Allen"/>
    <x v="3"/>
    <x v="2"/>
    <x v="4"/>
    <n v="3782.1"/>
    <n v="400.12"/>
    <n v="6"/>
    <x v="10"/>
    <x v="0"/>
    <n v="0.10579307791967425"/>
  </r>
  <r>
    <s v="ORD-100078"/>
    <d v="2025-06-05T00:00:00"/>
    <s v="Kaden Brown"/>
    <x v="4"/>
    <x v="2"/>
    <x v="11"/>
    <n v="2763.35"/>
    <n v="511.58"/>
    <n v="5"/>
    <x v="3"/>
    <x v="0"/>
    <n v="0.1851303671268569"/>
  </r>
  <r>
    <s v="ORD-100079"/>
    <d v="2025-07-14T00:00:00"/>
    <s v="William Thomas"/>
    <x v="0"/>
    <x v="3"/>
    <x v="20"/>
    <n v="108.81"/>
    <n v="11.86"/>
    <n v="3"/>
    <x v="6"/>
    <x v="0"/>
    <n v="0.10899733480378641"/>
  </r>
  <r>
    <s v="ORD-100080"/>
    <d v="2025-02-20T00:00:00"/>
    <s v="Daniel Smith"/>
    <x v="1"/>
    <x v="1"/>
    <x v="2"/>
    <n v="198.32"/>
    <n v="41.73"/>
    <n v="2"/>
    <x v="9"/>
    <x v="0"/>
    <n v="0.2104175070592981"/>
  </r>
  <r>
    <s v="ORD-100081"/>
    <d v="2025-07-29T00:00:00"/>
    <s v="William Thompson"/>
    <x v="3"/>
    <x v="1"/>
    <x v="19"/>
    <n v="759.9"/>
    <n v="182.83"/>
    <n v="3"/>
    <x v="6"/>
    <x v="0"/>
    <n v="0.2405974470325043"/>
  </r>
  <r>
    <s v="ORD-100082"/>
    <d v="2025-12-18T00:00:00"/>
    <s v="Linda Davis"/>
    <x v="2"/>
    <x v="4"/>
    <x v="21"/>
    <n v="237.32"/>
    <n v="32.57"/>
    <n v="4"/>
    <x v="8"/>
    <x v="0"/>
    <n v="0.13724085622787799"/>
  </r>
  <r>
    <s v="ORD-100083"/>
    <d v="2025-03-14T00:00:00"/>
    <s v="Kaden Carpenter"/>
    <x v="1"/>
    <x v="4"/>
    <x v="12"/>
    <n v="1262.7"/>
    <n v="417.07"/>
    <n v="6"/>
    <x v="4"/>
    <x v="0"/>
    <n v="0.33030015047121247"/>
  </r>
  <r>
    <s v="ORD-100084"/>
    <d v="2025-08-28T00:00:00"/>
    <s v="Charles Miller"/>
    <x v="3"/>
    <x v="3"/>
    <x v="23"/>
    <n v="160.80000000000001"/>
    <n v="18.02"/>
    <n v="5"/>
    <x v="2"/>
    <x v="0"/>
    <n v="0.11206467661691541"/>
  </r>
  <r>
    <s v="ORD-100085"/>
    <d v="2025-08-10T00:00:00"/>
    <s v="Betty Wilson"/>
    <x v="2"/>
    <x v="1"/>
    <x v="2"/>
    <n v="674.86"/>
    <n v="180.32"/>
    <n v="2"/>
    <x v="2"/>
    <x v="0"/>
    <n v="0.26719615920339029"/>
  </r>
  <r>
    <s v="ORD-100086"/>
    <d v="2025-01-11T00:00:00"/>
    <s v="Daniel Davis"/>
    <x v="2"/>
    <x v="0"/>
    <x v="0"/>
    <n v="71.88"/>
    <n v="8.36"/>
    <n v="4"/>
    <x v="1"/>
    <x v="0"/>
    <n v="0.11630495269894268"/>
  </r>
  <r>
    <s v="ORD-100087"/>
    <d v="2025-10-27T00:00:00"/>
    <s v="Elizabeth Jackson"/>
    <x v="4"/>
    <x v="2"/>
    <x v="11"/>
    <n v="948.33"/>
    <n v="92.73"/>
    <n v="3"/>
    <x v="11"/>
    <x v="0"/>
    <n v="9.7782417512891087E-2"/>
  </r>
  <r>
    <s v="ORD-100088"/>
    <d v="2025-07-30T00:00:00"/>
    <s v="Charles Jackson"/>
    <x v="0"/>
    <x v="4"/>
    <x v="13"/>
    <n v="166.3"/>
    <n v="20.29"/>
    <n v="5"/>
    <x v="6"/>
    <x v="0"/>
    <n v="0.12200841852074562"/>
  </r>
  <r>
    <s v="ORD-100089"/>
    <d v="2025-03-01T00:00:00"/>
    <s v="Daniel Taylor"/>
    <x v="2"/>
    <x v="4"/>
    <x v="6"/>
    <n v="1323.66"/>
    <n v="285.24"/>
    <n v="6"/>
    <x v="4"/>
    <x v="0"/>
    <n v="0.21549340465074113"/>
  </r>
  <r>
    <s v="ORD-100090"/>
    <d v="2025-09-23T00:00:00"/>
    <s v="Jennifer Thompson"/>
    <x v="3"/>
    <x v="4"/>
    <x v="6"/>
    <n v="170.18"/>
    <n v="22.59"/>
    <n v="2"/>
    <x v="10"/>
    <x v="0"/>
    <n v="0.13274180279703843"/>
  </r>
  <r>
    <s v="ORD-100091"/>
    <d v="2025-12-24T00:00:00"/>
    <s v="Susan Alvarado"/>
    <x v="4"/>
    <x v="3"/>
    <x v="23"/>
    <n v="105.1"/>
    <n v="10.73"/>
    <n v="2"/>
    <x v="8"/>
    <x v="0"/>
    <n v="0.10209324452901999"/>
  </r>
  <r>
    <s v="ORD-100092"/>
    <d v="2025-04-26T00:00:00"/>
    <s v="Paul Alvarado"/>
    <x v="3"/>
    <x v="3"/>
    <x v="15"/>
    <n v="225.2"/>
    <n v="32.380000000000003"/>
    <n v="4"/>
    <x v="5"/>
    <x v="0"/>
    <n v="0.14378330373001777"/>
  </r>
  <r>
    <s v="ORD-100093"/>
    <d v="2025-08-01T00:00:00"/>
    <s v="Paul Jackson"/>
    <x v="3"/>
    <x v="0"/>
    <x v="1"/>
    <n v="29.18"/>
    <n v="5.49"/>
    <n v="2"/>
    <x v="2"/>
    <x v="0"/>
    <n v="0.18814256339958876"/>
  </r>
  <r>
    <s v="ORD-100094"/>
    <d v="2025-03-11T00:00:00"/>
    <s v="Ashley Allen"/>
    <x v="0"/>
    <x v="4"/>
    <x v="13"/>
    <n v="705.63"/>
    <n v="160.13"/>
    <n v="3"/>
    <x v="4"/>
    <x v="0"/>
    <n v="0.22693196150957301"/>
  </r>
  <r>
    <s v="ORD-100095"/>
    <d v="2025-05-25T00:00:00"/>
    <s v="Betty Miller"/>
    <x v="2"/>
    <x v="2"/>
    <x v="11"/>
    <n v="848.06"/>
    <n v="137.66999999999999"/>
    <n v="2"/>
    <x v="7"/>
    <x v="0"/>
    <n v="0.16233521213121713"/>
  </r>
  <r>
    <s v="ORD-100096"/>
    <d v="2025-10-06T00:00:00"/>
    <s v="David Thomas"/>
    <x v="0"/>
    <x v="3"/>
    <x v="15"/>
    <n v="130.30000000000001"/>
    <n v="29.76"/>
    <n v="5"/>
    <x v="11"/>
    <x v="0"/>
    <n v="0.2283960092095165"/>
  </r>
  <r>
    <s v="ORD-100097"/>
    <d v="2025-06-12T00:00:00"/>
    <s v="Betty Jackson"/>
    <x v="3"/>
    <x v="1"/>
    <x v="19"/>
    <n v="1353.56"/>
    <n v="169.53"/>
    <n v="4"/>
    <x v="3"/>
    <x v="0"/>
    <n v="0.12524749549336564"/>
  </r>
  <r>
    <s v="ORD-100098"/>
    <d v="2025-06-19T00:00:00"/>
    <s v="Ashley Alvarado"/>
    <x v="3"/>
    <x v="0"/>
    <x v="18"/>
    <n v="23.06"/>
    <n v="2.57"/>
    <n v="1"/>
    <x v="3"/>
    <x v="0"/>
    <n v="0.11144839549002601"/>
  </r>
  <r>
    <s v="ORD-100099"/>
    <d v="2025-03-21T00:00:00"/>
    <s v="Kaden Jackson"/>
    <x v="0"/>
    <x v="1"/>
    <x v="16"/>
    <n v="279"/>
    <n v="46.23"/>
    <n v="6"/>
    <x v="4"/>
    <x v="0"/>
    <n v="0.16569892473118278"/>
  </r>
  <r>
    <s v="ORD-100100"/>
    <d v="2025-10-01T00:00:00"/>
    <s v="David Wilson"/>
    <x v="3"/>
    <x v="3"/>
    <x v="5"/>
    <n v="43.8"/>
    <n v="8.5299999999999994"/>
    <n v="5"/>
    <x v="11"/>
    <x v="0"/>
    <n v="0.19474885844748857"/>
  </r>
  <r>
    <s v="ORD-100101"/>
    <d v="2025-04-27T00:00:00"/>
    <s v="Betty Allen"/>
    <x v="3"/>
    <x v="3"/>
    <x v="5"/>
    <n v="56.6"/>
    <n v="-4.0999999999999996"/>
    <n v="4"/>
    <x v="5"/>
    <x v="0"/>
    <n v="-7.2438162544169599E-2"/>
  </r>
  <r>
    <s v="ORD-100102"/>
    <d v="2025-06-16T00:00:00"/>
    <s v="Sandra Carpenter"/>
    <x v="0"/>
    <x v="1"/>
    <x v="16"/>
    <n v="201.18"/>
    <n v="36.700000000000003"/>
    <n v="2"/>
    <x v="3"/>
    <x v="0"/>
    <n v="0.18242370016900289"/>
  </r>
  <r>
    <s v="ORD-100103"/>
    <d v="2025-04-03T00:00:00"/>
    <s v="Sarah Johnson"/>
    <x v="4"/>
    <x v="4"/>
    <x v="13"/>
    <n v="893.55"/>
    <n v="200.53"/>
    <n v="5"/>
    <x v="5"/>
    <x v="0"/>
    <n v="0.22441945050640705"/>
  </r>
  <r>
    <s v="ORD-100104"/>
    <d v="2025-04-29T00:00:00"/>
    <s v="William Davis"/>
    <x v="3"/>
    <x v="1"/>
    <x v="2"/>
    <n v="1269.5999999999999"/>
    <n v="299.02"/>
    <n v="4"/>
    <x v="5"/>
    <x v="0"/>
    <n v="0.23552299936988028"/>
  </r>
  <r>
    <s v="ORD-100105"/>
    <d v="2025-08-15T00:00:00"/>
    <s v="Jennifer Martin"/>
    <x v="0"/>
    <x v="4"/>
    <x v="13"/>
    <n v="487.62"/>
    <n v="151.81"/>
    <n v="6"/>
    <x v="2"/>
    <x v="0"/>
    <n v="0.31132849349903613"/>
  </r>
  <r>
    <s v="ORD-100106"/>
    <d v="2025-07-16T00:00:00"/>
    <s v="Ashley Jackson"/>
    <x v="4"/>
    <x v="0"/>
    <x v="1"/>
    <n v="58.11"/>
    <n v="11.56"/>
    <n v="3"/>
    <x v="6"/>
    <x v="0"/>
    <n v="0.1989330579934607"/>
  </r>
  <r>
    <s v="ORD-100107"/>
    <d v="2025-12-04T00:00:00"/>
    <s v="David Davis"/>
    <x v="4"/>
    <x v="2"/>
    <x v="8"/>
    <n v="4595.2299999999996"/>
    <n v="1072.98"/>
    <n v="5"/>
    <x v="8"/>
    <x v="0"/>
    <n v="0.23349864968674042"/>
  </r>
  <r>
    <s v="ORD-100108"/>
    <d v="2025-04-28T00:00:00"/>
    <s v="Karen Moore"/>
    <x v="1"/>
    <x v="4"/>
    <x v="12"/>
    <n v="532.5"/>
    <n v="149.22"/>
    <n v="3"/>
    <x v="5"/>
    <x v="0"/>
    <n v="0.28022535211267607"/>
  </r>
  <r>
    <s v="ORD-100109"/>
    <d v="2025-03-12T00:00:00"/>
    <s v="Thomas Alvarado"/>
    <x v="4"/>
    <x v="1"/>
    <x v="16"/>
    <n v="211.26"/>
    <n v="52.07"/>
    <n v="1"/>
    <x v="4"/>
    <x v="0"/>
    <n v="0.24647353971409638"/>
  </r>
  <r>
    <s v="ORD-100110"/>
    <d v="2025-06-01T00:00:00"/>
    <s v="Michael Anderson"/>
    <x v="1"/>
    <x v="0"/>
    <x v="1"/>
    <n v="54.81"/>
    <n v="10.25"/>
    <n v="3"/>
    <x v="3"/>
    <x v="0"/>
    <n v="0.18700966976829045"/>
  </r>
  <r>
    <s v="ORD-100111"/>
    <d v="2025-05-12T00:00:00"/>
    <s v="Emily Jackson"/>
    <x v="0"/>
    <x v="4"/>
    <x v="10"/>
    <n v="130.37"/>
    <n v="15.49"/>
    <n v="1"/>
    <x v="7"/>
    <x v="0"/>
    <n v="0.11881567845363197"/>
  </r>
  <r>
    <s v="ORD-100112"/>
    <d v="2025-04-26T00:00:00"/>
    <s v="Ashley Taylor"/>
    <x v="2"/>
    <x v="1"/>
    <x v="16"/>
    <n v="107.27"/>
    <n v="13.38"/>
    <n v="1"/>
    <x v="5"/>
    <x v="0"/>
    <n v="0.12473198471147573"/>
  </r>
  <r>
    <s v="ORD-100113"/>
    <d v="2025-12-11T00:00:00"/>
    <s v="Robert Martin"/>
    <x v="3"/>
    <x v="4"/>
    <x v="10"/>
    <n v="219.54"/>
    <n v="55.96"/>
    <n v="1"/>
    <x v="8"/>
    <x v="0"/>
    <n v="0.25489660198597069"/>
  </r>
  <r>
    <s v="ORD-100114"/>
    <d v="2025-06-17T00:00:00"/>
    <s v="Emily Thompson"/>
    <x v="1"/>
    <x v="4"/>
    <x v="13"/>
    <n v="557.94000000000005"/>
    <n v="112.75"/>
    <n v="6"/>
    <x v="3"/>
    <x v="0"/>
    <n v="0.2020826612180521"/>
  </r>
  <r>
    <s v="ORD-100115"/>
    <d v="2025-01-20T00:00:00"/>
    <s v="Patricia Jackson"/>
    <x v="4"/>
    <x v="0"/>
    <x v="1"/>
    <n v="29.44"/>
    <n v="3.11"/>
    <n v="2"/>
    <x v="1"/>
    <x v="0"/>
    <n v="0.10563858695652173"/>
  </r>
  <r>
    <s v="ORD-100116"/>
    <d v="2025-12-23T00:00:00"/>
    <s v="Jessica Anderson"/>
    <x v="2"/>
    <x v="4"/>
    <x v="21"/>
    <n v="930.82"/>
    <n v="236.35"/>
    <n v="4"/>
    <x v="8"/>
    <x v="0"/>
    <n v="0.25391590210781889"/>
  </r>
  <r>
    <s v="ORD-100117"/>
    <d v="2025-05-24T00:00:00"/>
    <s v="Marie Moore"/>
    <x v="1"/>
    <x v="1"/>
    <x v="19"/>
    <n v="158.37"/>
    <n v="37.56"/>
    <n v="3"/>
    <x v="7"/>
    <x v="0"/>
    <n v="0.23716612994885397"/>
  </r>
  <r>
    <s v="ORD-100118"/>
    <d v="2025-11-27T00:00:00"/>
    <s v="Jennifer Carpenter"/>
    <x v="3"/>
    <x v="1"/>
    <x v="2"/>
    <n v="233.89"/>
    <n v="53.3"/>
    <n v="4"/>
    <x v="0"/>
    <x v="0"/>
    <n v="0.22788490315960494"/>
  </r>
  <r>
    <s v="ORD-100119"/>
    <d v="2025-01-26T00:00:00"/>
    <s v="Sandra Wilson"/>
    <x v="1"/>
    <x v="3"/>
    <x v="23"/>
    <n v="17.54"/>
    <n v="3.77"/>
    <n v="2"/>
    <x v="1"/>
    <x v="0"/>
    <n v="0.21493728620296465"/>
  </r>
  <r>
    <s v="ORD-100120"/>
    <d v="2025-04-21T00:00:00"/>
    <s v="Paul Brown"/>
    <x v="0"/>
    <x v="4"/>
    <x v="12"/>
    <n v="87.39"/>
    <n v="30.24"/>
    <n v="1"/>
    <x v="5"/>
    <x v="0"/>
    <n v="0.34603501544799176"/>
  </r>
  <r>
    <s v="ORD-100121"/>
    <d v="2025-10-04T00:00:00"/>
    <s v="Robert Johnson"/>
    <x v="4"/>
    <x v="4"/>
    <x v="6"/>
    <n v="56.68"/>
    <n v="16.86"/>
    <n v="2"/>
    <x v="11"/>
    <x v="0"/>
    <n v="0.29745942131263231"/>
  </r>
  <r>
    <s v="ORD-100122"/>
    <d v="2025-06-15T00:00:00"/>
    <s v="Dennis Johnson"/>
    <x v="0"/>
    <x v="0"/>
    <x v="18"/>
    <n v="39.200000000000003"/>
    <n v="2.33"/>
    <n v="5"/>
    <x v="3"/>
    <x v="0"/>
    <n v="5.943877551020408E-2"/>
  </r>
  <r>
    <s v="ORD-100123"/>
    <d v="2025-07-05T00:00:00"/>
    <s v="Richard Martin"/>
    <x v="4"/>
    <x v="2"/>
    <x v="22"/>
    <n v="386.45"/>
    <n v="82.37"/>
    <n v="5"/>
    <x v="6"/>
    <x v="0"/>
    <n v="0.21314529693362663"/>
  </r>
  <r>
    <s v="ORD-100124"/>
    <d v="2025-09-24T00:00:00"/>
    <s v="Patricia Thomas"/>
    <x v="4"/>
    <x v="0"/>
    <x v="18"/>
    <n v="62.64"/>
    <n v="4.1500000000000004"/>
    <n v="4"/>
    <x v="10"/>
    <x v="0"/>
    <n v="6.6251596424010226E-2"/>
  </r>
  <r>
    <s v="ORD-100125"/>
    <d v="2025-08-16T00:00:00"/>
    <s v="Kaden Allen"/>
    <x v="0"/>
    <x v="4"/>
    <x v="6"/>
    <n v="173.76"/>
    <n v="44.88"/>
    <n v="2"/>
    <x v="2"/>
    <x v="0"/>
    <n v="0.25828729281767959"/>
  </r>
  <r>
    <s v="ORD-100126"/>
    <d v="2025-06-16T00:00:00"/>
    <s v="David Thompson"/>
    <x v="2"/>
    <x v="1"/>
    <x v="9"/>
    <n v="809.85"/>
    <n v="209.44"/>
    <n v="5"/>
    <x v="3"/>
    <x v="0"/>
    <n v="0.25861579304809534"/>
  </r>
  <r>
    <s v="ORD-100127"/>
    <d v="2025-12-02T00:00:00"/>
    <s v="Thomas Harris"/>
    <x v="1"/>
    <x v="1"/>
    <x v="19"/>
    <n v="651.89"/>
    <n v="119.42"/>
    <n v="4"/>
    <x v="8"/>
    <x v="0"/>
    <n v="0.18319041556090751"/>
  </r>
  <r>
    <s v="ORD-100128"/>
    <d v="2025-08-07T00:00:00"/>
    <s v="Michael Davis"/>
    <x v="0"/>
    <x v="3"/>
    <x v="20"/>
    <n v="10.02"/>
    <n v="1.1299999999999999"/>
    <n v="1"/>
    <x v="2"/>
    <x v="0"/>
    <n v="0.11277445109780439"/>
  </r>
  <r>
    <s v="ORD-100129"/>
    <d v="2025-07-10T00:00:00"/>
    <s v="Sandra Ruiz"/>
    <x v="2"/>
    <x v="0"/>
    <x v="1"/>
    <n v="66.2"/>
    <n v="4.5199999999999996"/>
    <n v="5"/>
    <x v="6"/>
    <x v="0"/>
    <n v="6.827794561933534E-2"/>
  </r>
  <r>
    <s v="ORD-100130"/>
    <d v="2025-12-07T00:00:00"/>
    <s v="Daniel Anderson"/>
    <x v="4"/>
    <x v="3"/>
    <x v="23"/>
    <n v="92.98"/>
    <n v="12.27"/>
    <n v="3"/>
    <x v="8"/>
    <x v="0"/>
    <n v="0.13196386319638631"/>
  </r>
  <r>
    <s v="ORD-100131"/>
    <d v="2025-04-25T00:00:00"/>
    <s v="Ashley Alvarado"/>
    <x v="0"/>
    <x v="4"/>
    <x v="10"/>
    <n v="196.59"/>
    <n v="47.87"/>
    <n v="1"/>
    <x v="5"/>
    <x v="0"/>
    <n v="0.24350170405412278"/>
  </r>
  <r>
    <s v="ORD-100132"/>
    <d v="2025-10-15T00:00:00"/>
    <s v="Daniel Thompson"/>
    <x v="2"/>
    <x v="4"/>
    <x v="12"/>
    <n v="162.02000000000001"/>
    <n v="42.85"/>
    <n v="1"/>
    <x v="11"/>
    <x v="0"/>
    <n v="0.26447352178743366"/>
  </r>
  <r>
    <s v="ORD-100133"/>
    <d v="2025-01-15T00:00:00"/>
    <s v="Sarah Davis"/>
    <x v="0"/>
    <x v="3"/>
    <x v="7"/>
    <n v="14.98"/>
    <n v="1.82"/>
    <n v="1"/>
    <x v="1"/>
    <x v="0"/>
    <n v="0.12149532710280374"/>
  </r>
  <r>
    <s v="ORD-100134"/>
    <d v="2025-02-05T00:00:00"/>
    <s v="Rita Zimmerman"/>
    <x v="4"/>
    <x v="4"/>
    <x v="21"/>
    <n v="477.84"/>
    <n v="88.51"/>
    <n v="4"/>
    <x v="9"/>
    <x v="0"/>
    <n v="0.18522936547798427"/>
  </r>
  <r>
    <s v="ORD-100135"/>
    <d v="2025-06-16T00:00:00"/>
    <s v="Daniel Martin"/>
    <x v="2"/>
    <x v="0"/>
    <x v="14"/>
    <n v="17.88"/>
    <n v="2.5499999999999998"/>
    <n v="2"/>
    <x v="3"/>
    <x v="0"/>
    <n v="0.14261744966442952"/>
  </r>
  <r>
    <s v="ORD-100136"/>
    <d v="2025-05-20T00:00:00"/>
    <s v="William Anderson"/>
    <x v="3"/>
    <x v="4"/>
    <x v="13"/>
    <n v="220.5"/>
    <n v="50.29"/>
    <n v="3"/>
    <x v="7"/>
    <x v="0"/>
    <n v="0.22807256235827664"/>
  </r>
  <r>
    <s v="ORD-100137"/>
    <d v="2025-02-26T00:00:00"/>
    <s v="Patricia Martin"/>
    <x v="3"/>
    <x v="2"/>
    <x v="24"/>
    <n v="229.65"/>
    <n v="56.81"/>
    <n v="1"/>
    <x v="9"/>
    <x v="0"/>
    <n v="0.24737644241236664"/>
  </r>
  <r>
    <s v="ORD-100138"/>
    <d v="2025-04-15T00:00:00"/>
    <s v="Patricia Smith"/>
    <x v="1"/>
    <x v="4"/>
    <x v="10"/>
    <n v="156"/>
    <n v="35"/>
    <n v="3"/>
    <x v="5"/>
    <x v="0"/>
    <n v="0.22435897435897437"/>
  </r>
  <r>
    <s v="ORD-100139"/>
    <d v="2025-03-08T00:00:00"/>
    <s v="David Harris"/>
    <x v="1"/>
    <x v="2"/>
    <x v="24"/>
    <n v="381.48"/>
    <n v="78.64"/>
    <n v="1"/>
    <x v="4"/>
    <x v="0"/>
    <n v="0.2061444898815141"/>
  </r>
  <r>
    <s v="ORD-100140"/>
    <d v="2025-08-24T00:00:00"/>
    <s v="Emily Allen"/>
    <x v="0"/>
    <x v="2"/>
    <x v="4"/>
    <n v="2600.6799999999998"/>
    <n v="392.72"/>
    <n v="4"/>
    <x v="2"/>
    <x v="0"/>
    <n v="0.15100665979666858"/>
  </r>
  <r>
    <s v="ORD-100141"/>
    <d v="2025-01-11T00:00:00"/>
    <s v="Michael Johnson"/>
    <x v="2"/>
    <x v="2"/>
    <x v="24"/>
    <n v="415.57"/>
    <n v="40.72"/>
    <n v="1"/>
    <x v="1"/>
    <x v="0"/>
    <n v="9.7985898885867603E-2"/>
  </r>
  <r>
    <s v="ORD-100142"/>
    <d v="2025-07-25T00:00:00"/>
    <s v="Richard Allen"/>
    <x v="3"/>
    <x v="3"/>
    <x v="7"/>
    <n v="46.64"/>
    <n v="5.84"/>
    <n v="2"/>
    <x v="6"/>
    <x v="0"/>
    <n v="0.12521440823327615"/>
  </r>
  <r>
    <s v="ORD-100143"/>
    <d v="2025-02-28T00:00:00"/>
    <s v="Richard White"/>
    <x v="1"/>
    <x v="3"/>
    <x v="7"/>
    <n v="135.03"/>
    <n v="30.09"/>
    <n v="3"/>
    <x v="9"/>
    <x v="0"/>
    <n v="0.22283936902910464"/>
  </r>
  <r>
    <s v="ORD-100144"/>
    <d v="2025-05-01T00:00:00"/>
    <s v="Matthew Ruiz"/>
    <x v="0"/>
    <x v="0"/>
    <x v="1"/>
    <n v="48.02"/>
    <n v="7.12"/>
    <n v="2"/>
    <x v="7"/>
    <x v="0"/>
    <n v="0.14827155351936691"/>
  </r>
  <r>
    <s v="ORD-100145"/>
    <d v="2025-11-18T00:00:00"/>
    <s v="Susan Thomas"/>
    <x v="2"/>
    <x v="4"/>
    <x v="13"/>
    <n v="1774.01"/>
    <n v="459.16"/>
    <n v="6"/>
    <x v="0"/>
    <x v="0"/>
    <n v="0.25882604945857129"/>
  </r>
  <r>
    <s v="ORD-100146"/>
    <d v="2025-11-18T00:00:00"/>
    <s v="Michael Ruiz"/>
    <x v="3"/>
    <x v="0"/>
    <x v="18"/>
    <n v="89.18"/>
    <n v="5.21"/>
    <n v="6"/>
    <x v="0"/>
    <x v="0"/>
    <n v="5.8421170666068618E-2"/>
  </r>
  <r>
    <s v="ORD-100147"/>
    <d v="2025-06-08T00:00:00"/>
    <s v="William Thomas"/>
    <x v="4"/>
    <x v="0"/>
    <x v="3"/>
    <n v="21.12"/>
    <n v="4.1500000000000004"/>
    <n v="1"/>
    <x v="3"/>
    <x v="0"/>
    <n v="0.19649621212121213"/>
  </r>
  <r>
    <s v="ORD-100148"/>
    <d v="2025-11-01T00:00:00"/>
    <s v="Richard Taylor"/>
    <x v="3"/>
    <x v="2"/>
    <x v="8"/>
    <n v="4179.5600000000004"/>
    <n v="468.11"/>
    <n v="4"/>
    <x v="0"/>
    <x v="0"/>
    <n v="0.1119998277330628"/>
  </r>
  <r>
    <s v="ORD-100149"/>
    <d v="2025-09-14T00:00:00"/>
    <s v="Rita Carpenter"/>
    <x v="3"/>
    <x v="0"/>
    <x v="3"/>
    <n v="42.66"/>
    <n v="6.27"/>
    <n v="6"/>
    <x v="10"/>
    <x v="0"/>
    <n v="0.1469760900140647"/>
  </r>
  <r>
    <s v="ORD-100150"/>
    <d v="2025-12-29T00:00:00"/>
    <s v="William Thomas"/>
    <x v="2"/>
    <x v="2"/>
    <x v="22"/>
    <n v="1281.97"/>
    <n v="191.64"/>
    <n v="3"/>
    <x v="8"/>
    <x v="0"/>
    <n v="0.1494886775821587"/>
  </r>
  <r>
    <s v="ORD-100151"/>
    <d v="2025-11-03T00:00:00"/>
    <s v="Marie Wilson"/>
    <x v="4"/>
    <x v="1"/>
    <x v="9"/>
    <n v="1040.9000000000001"/>
    <n v="281.37"/>
    <n v="6"/>
    <x v="0"/>
    <x v="0"/>
    <n v="0.27031415121529445"/>
  </r>
  <r>
    <s v="ORD-100152"/>
    <d v="2025-11-05T00:00:00"/>
    <s v="Ashley Ruiz"/>
    <x v="0"/>
    <x v="0"/>
    <x v="0"/>
    <n v="49.64"/>
    <n v="7.41"/>
    <n v="3"/>
    <x v="0"/>
    <x v="0"/>
    <n v="0.1492747784045125"/>
  </r>
  <r>
    <s v="ORD-100153"/>
    <d v="2025-12-29T00:00:00"/>
    <s v="Kaden Miller"/>
    <x v="2"/>
    <x v="1"/>
    <x v="17"/>
    <n v="650.45000000000005"/>
    <n v="161.15"/>
    <n v="2"/>
    <x v="8"/>
    <x v="0"/>
    <n v="0.2477515566146514"/>
  </r>
  <r>
    <s v="ORD-100154"/>
    <d v="2025-09-27T00:00:00"/>
    <s v="Kaden Anderson"/>
    <x v="2"/>
    <x v="1"/>
    <x v="17"/>
    <n v="238.47"/>
    <n v="34.06"/>
    <n v="3"/>
    <x v="10"/>
    <x v="0"/>
    <n v="0.14282719000293539"/>
  </r>
  <r>
    <s v="ORD-100155"/>
    <d v="2025-09-06T00:00:00"/>
    <s v="James Brown"/>
    <x v="1"/>
    <x v="0"/>
    <x v="3"/>
    <n v="17.690000000000001"/>
    <n v="2.3199999999999998"/>
    <n v="1"/>
    <x v="10"/>
    <x v="0"/>
    <n v="0.13114754098360654"/>
  </r>
  <r>
    <s v="ORD-100156"/>
    <d v="2025-09-27T00:00:00"/>
    <s v="Marie Wilson"/>
    <x v="2"/>
    <x v="0"/>
    <x v="18"/>
    <n v="18.12"/>
    <n v="3.17"/>
    <n v="2"/>
    <x v="10"/>
    <x v="0"/>
    <n v="0.17494481236203088"/>
  </r>
  <r>
    <s v="ORD-100157"/>
    <d v="2025-03-26T00:00:00"/>
    <s v="Betty Thomas"/>
    <x v="4"/>
    <x v="1"/>
    <x v="19"/>
    <n v="886"/>
    <n v="221.92"/>
    <n v="4"/>
    <x v="4"/>
    <x v="0"/>
    <n v="0.25047404063205414"/>
  </r>
  <r>
    <s v="ORD-100158"/>
    <d v="2025-04-30T00:00:00"/>
    <s v="Jessica Brown"/>
    <x v="0"/>
    <x v="3"/>
    <x v="20"/>
    <n v="50.46"/>
    <n v="12.21"/>
    <n v="2"/>
    <x v="5"/>
    <x v="0"/>
    <n v="0.24197384066587396"/>
  </r>
  <r>
    <s v="ORD-100159"/>
    <d v="2025-08-25T00:00:00"/>
    <s v="Daniel Miller"/>
    <x v="3"/>
    <x v="2"/>
    <x v="11"/>
    <n v="1485.06"/>
    <n v="321.08999999999997"/>
    <n v="2"/>
    <x v="2"/>
    <x v="0"/>
    <n v="0.2162134863237849"/>
  </r>
  <r>
    <s v="ORD-100160"/>
    <d v="2025-05-09T00:00:00"/>
    <s v="Marie Jackson"/>
    <x v="0"/>
    <x v="2"/>
    <x v="8"/>
    <n v="4604.82"/>
    <n v="1034.69"/>
    <n v="6"/>
    <x v="7"/>
    <x v="0"/>
    <n v="0.22469716514434879"/>
  </r>
  <r>
    <s v="ORD-100161"/>
    <d v="2025-03-24T00:00:00"/>
    <s v="Robert Thomas"/>
    <x v="2"/>
    <x v="0"/>
    <x v="18"/>
    <n v="28.66"/>
    <n v="2.39"/>
    <n v="1"/>
    <x v="4"/>
    <x v="0"/>
    <n v="8.339148639218423E-2"/>
  </r>
  <r>
    <s v="ORD-100162"/>
    <d v="2025-06-28T00:00:00"/>
    <s v="Emily Zimmerman"/>
    <x v="3"/>
    <x v="0"/>
    <x v="1"/>
    <n v="32.67"/>
    <n v="6.51"/>
    <n v="3"/>
    <x v="3"/>
    <x v="0"/>
    <n v="0.1992653810835629"/>
  </r>
  <r>
    <s v="ORD-100163"/>
    <d v="2025-01-15T00:00:00"/>
    <s v="Michael Alvarado"/>
    <x v="0"/>
    <x v="4"/>
    <x v="21"/>
    <n v="89.55"/>
    <n v="27.53"/>
    <n v="1"/>
    <x v="1"/>
    <x v="0"/>
    <n v="0.30742601898380795"/>
  </r>
  <r>
    <s v="ORD-100164"/>
    <d v="2025-03-13T00:00:00"/>
    <s v="Daniel Jackson"/>
    <x v="3"/>
    <x v="4"/>
    <x v="6"/>
    <n v="82.58"/>
    <n v="25.5"/>
    <n v="1"/>
    <x v="4"/>
    <x v="0"/>
    <n v="0.30879147493339792"/>
  </r>
  <r>
    <s v="ORD-100165"/>
    <d v="2025-11-08T00:00:00"/>
    <s v="Richard Anderson"/>
    <x v="4"/>
    <x v="4"/>
    <x v="21"/>
    <n v="184.24"/>
    <n v="47.85"/>
    <n v="3"/>
    <x v="0"/>
    <x v="0"/>
    <n v="0.25971558836300479"/>
  </r>
  <r>
    <s v="ORD-100166"/>
    <d v="2025-02-02T00:00:00"/>
    <s v="Matthew Jackson"/>
    <x v="2"/>
    <x v="2"/>
    <x v="4"/>
    <n v="1240.3499999999999"/>
    <n v="129.5"/>
    <n v="5"/>
    <x v="9"/>
    <x v="0"/>
    <n v="0.1044060144314105"/>
  </r>
  <r>
    <s v="ORD-100167"/>
    <d v="2025-11-11T00:00:00"/>
    <s v="Jennifer Brown"/>
    <x v="2"/>
    <x v="1"/>
    <x v="2"/>
    <n v="1913.7"/>
    <n v="392.71"/>
    <n v="5"/>
    <x v="0"/>
    <x v="0"/>
    <n v="0.20520980299942518"/>
  </r>
  <r>
    <s v="ORD-100168"/>
    <d v="2025-09-17T00:00:00"/>
    <s v="Jessica Zimmerman"/>
    <x v="3"/>
    <x v="3"/>
    <x v="5"/>
    <n v="157.68"/>
    <n v="24.6"/>
    <n v="6"/>
    <x v="10"/>
    <x v="0"/>
    <n v="0.15601217656012176"/>
  </r>
  <r>
    <s v="ORD-100169"/>
    <d v="2025-07-02T00:00:00"/>
    <s v="Sandra Allen"/>
    <x v="0"/>
    <x v="0"/>
    <x v="14"/>
    <n v="116.9"/>
    <n v="11.68"/>
    <n v="5"/>
    <x v="6"/>
    <x v="0"/>
    <n v="9.9914456800684337E-2"/>
  </r>
  <r>
    <s v="ORD-100170"/>
    <d v="2025-10-07T00:00:00"/>
    <s v="Michael Johnson"/>
    <x v="3"/>
    <x v="3"/>
    <x v="20"/>
    <n v="90.18"/>
    <n v="10.84"/>
    <n v="6"/>
    <x v="11"/>
    <x v="0"/>
    <n v="0.12020403637170103"/>
  </r>
  <r>
    <s v="ORD-100171"/>
    <d v="2025-08-23T00:00:00"/>
    <s v="Marie Miller"/>
    <x v="1"/>
    <x v="0"/>
    <x v="0"/>
    <n v="12.89"/>
    <n v="1.24"/>
    <n v="1"/>
    <x v="2"/>
    <x v="0"/>
    <n v="9.6198603568657864E-2"/>
  </r>
  <r>
    <s v="ORD-100172"/>
    <d v="2025-10-06T00:00:00"/>
    <s v="Susan Davis"/>
    <x v="4"/>
    <x v="4"/>
    <x v="21"/>
    <n v="315.95999999999998"/>
    <n v="93.27"/>
    <n v="3"/>
    <x v="11"/>
    <x v="0"/>
    <n v="0.29519559437903531"/>
  </r>
  <r>
    <s v="ORD-100173"/>
    <d v="2025-06-19T00:00:00"/>
    <s v="Robert Alvarado"/>
    <x v="0"/>
    <x v="1"/>
    <x v="16"/>
    <n v="990.66"/>
    <n v="288.58"/>
    <n v="6"/>
    <x v="3"/>
    <x v="0"/>
    <n v="0.29130074899561909"/>
  </r>
  <r>
    <s v="ORD-100174"/>
    <d v="2025-04-06T00:00:00"/>
    <s v="Susan Jackson"/>
    <x v="0"/>
    <x v="3"/>
    <x v="23"/>
    <n v="147.18"/>
    <n v="30.77"/>
    <n v="3"/>
    <x v="5"/>
    <x v="0"/>
    <n v="0.20906373148525614"/>
  </r>
  <r>
    <s v="ORD-100175"/>
    <d v="2025-11-05T00:00:00"/>
    <s v="Paul Johnson"/>
    <x v="2"/>
    <x v="1"/>
    <x v="2"/>
    <n v="152.4"/>
    <n v="28.83"/>
    <n v="1"/>
    <x v="0"/>
    <x v="0"/>
    <n v="0.18917322834645667"/>
  </r>
  <r>
    <s v="ORD-100176"/>
    <d v="2025-03-27T00:00:00"/>
    <s v="Charles Thomas"/>
    <x v="0"/>
    <x v="1"/>
    <x v="17"/>
    <n v="1746.95"/>
    <n v="270.62"/>
    <n v="5"/>
    <x v="4"/>
    <x v="0"/>
    <n v="0.15490998597555738"/>
  </r>
  <r>
    <s v="ORD-100177"/>
    <d v="2025-01-30T00:00:00"/>
    <s v="Kaden Taylor"/>
    <x v="0"/>
    <x v="2"/>
    <x v="22"/>
    <n v="162.79"/>
    <n v="29.84"/>
    <n v="1"/>
    <x v="1"/>
    <x v="0"/>
    <n v="0.18330364272989741"/>
  </r>
  <r>
    <s v="ORD-100178"/>
    <d v="2025-01-18T00:00:00"/>
    <s v="Rita Allen"/>
    <x v="1"/>
    <x v="4"/>
    <x v="10"/>
    <n v="333.42"/>
    <n v="80.62"/>
    <n v="3"/>
    <x v="1"/>
    <x v="0"/>
    <n v="0.24179713274548617"/>
  </r>
  <r>
    <s v="ORD-100179"/>
    <d v="2025-12-14T00:00:00"/>
    <s v="William Moore"/>
    <x v="0"/>
    <x v="1"/>
    <x v="2"/>
    <n v="395.94"/>
    <n v="64.489999999999995"/>
    <n v="5"/>
    <x v="8"/>
    <x v="0"/>
    <n v="0.16287821387078849"/>
  </r>
  <r>
    <s v="ORD-100180"/>
    <d v="2025-02-28T00:00:00"/>
    <s v="Dennis Johnson"/>
    <x v="3"/>
    <x v="2"/>
    <x v="4"/>
    <n v="265.13"/>
    <n v="32.94"/>
    <n v="1"/>
    <x v="9"/>
    <x v="0"/>
    <n v="0.12424093840757364"/>
  </r>
  <r>
    <s v="ORD-100181"/>
    <d v="2025-11-10T00:00:00"/>
    <s v="Patricia Jackson"/>
    <x v="1"/>
    <x v="0"/>
    <x v="14"/>
    <n v="48.99"/>
    <n v="9.7799999999999994"/>
    <n v="4"/>
    <x v="0"/>
    <x v="0"/>
    <n v="0.19963257807715859"/>
  </r>
  <r>
    <s v="ORD-100182"/>
    <d v="2025-06-13T00:00:00"/>
    <s v="Nancy Moore"/>
    <x v="4"/>
    <x v="2"/>
    <x v="24"/>
    <n v="2316.5100000000002"/>
    <n v="465.64"/>
    <n v="3"/>
    <x v="3"/>
    <x v="0"/>
    <n v="0.20100927688635056"/>
  </r>
  <r>
    <s v="ORD-100183"/>
    <d v="2025-11-23T00:00:00"/>
    <s v="Sarah Moore"/>
    <x v="2"/>
    <x v="0"/>
    <x v="0"/>
    <n v="27.26"/>
    <n v="2.84"/>
    <n v="2"/>
    <x v="0"/>
    <x v="0"/>
    <n v="0.10418195157740277"/>
  </r>
  <r>
    <s v="ORD-100184"/>
    <d v="2025-08-28T00:00:00"/>
    <s v="Sandra Harris"/>
    <x v="1"/>
    <x v="4"/>
    <x v="6"/>
    <n v="94.59"/>
    <n v="33.1"/>
    <n v="1"/>
    <x v="2"/>
    <x v="0"/>
    <n v="0.34993128237657256"/>
  </r>
  <r>
    <s v="ORD-100185"/>
    <d v="2025-09-27T00:00:00"/>
    <s v="Elizabeth Anderson"/>
    <x v="2"/>
    <x v="0"/>
    <x v="3"/>
    <n v="41.1"/>
    <n v="4.93"/>
    <n v="6"/>
    <x v="10"/>
    <x v="0"/>
    <n v="0.11995133819951337"/>
  </r>
  <r>
    <s v="ORD-100186"/>
    <d v="2025-03-07T00:00:00"/>
    <s v="Mark Harris"/>
    <x v="2"/>
    <x v="0"/>
    <x v="0"/>
    <n v="70.28"/>
    <n v="12.67"/>
    <n v="4"/>
    <x v="4"/>
    <x v="0"/>
    <n v="0.1802788844621514"/>
  </r>
  <r>
    <s v="ORD-100187"/>
    <d v="2025-09-23T00:00:00"/>
    <s v="Rita Miller"/>
    <x v="1"/>
    <x v="0"/>
    <x v="0"/>
    <n v="86.07"/>
    <n v="11"/>
    <n v="3"/>
    <x v="10"/>
    <x v="0"/>
    <n v="0.12780295108632508"/>
  </r>
  <r>
    <s v="ORD-100188"/>
    <d v="2025-02-10T00:00:00"/>
    <s v="Robert Smith"/>
    <x v="2"/>
    <x v="1"/>
    <x v="17"/>
    <n v="980.25"/>
    <n v="196.55"/>
    <n v="5"/>
    <x v="9"/>
    <x v="0"/>
    <n v="0.20051007396072432"/>
  </r>
  <r>
    <s v="ORD-100189"/>
    <d v="2025-10-25T00:00:00"/>
    <s v="Rita Johnson"/>
    <x v="2"/>
    <x v="4"/>
    <x v="12"/>
    <n v="643.71"/>
    <n v="155.07"/>
    <n v="3"/>
    <x v="11"/>
    <x v="0"/>
    <n v="0.24090040546208694"/>
  </r>
  <r>
    <s v="ORD-100190"/>
    <d v="2025-01-15T00:00:00"/>
    <s v="Kaden Carpenter"/>
    <x v="2"/>
    <x v="1"/>
    <x v="19"/>
    <n v="787.35"/>
    <n v="179.36"/>
    <n v="5"/>
    <x v="1"/>
    <x v="0"/>
    <n v="0.22780212103892805"/>
  </r>
  <r>
    <s v="ORD-100191"/>
    <d v="2025-11-18T00:00:00"/>
    <s v="Jessica Miller"/>
    <x v="0"/>
    <x v="2"/>
    <x v="11"/>
    <n v="1685.69"/>
    <n v="180.16"/>
    <n v="3"/>
    <x v="0"/>
    <x v="0"/>
    <n v="0.10687611601184084"/>
  </r>
  <r>
    <s v="ORD-100192"/>
    <d v="2025-08-26T00:00:00"/>
    <s v="James Wilson"/>
    <x v="2"/>
    <x v="0"/>
    <x v="3"/>
    <n v="178.2"/>
    <n v="18.14"/>
    <n v="6"/>
    <x v="2"/>
    <x v="0"/>
    <n v="0.10179573512906848"/>
  </r>
  <r>
    <s v="ORD-100193"/>
    <d v="2025-07-09T00:00:00"/>
    <s v="Richard Harris"/>
    <x v="4"/>
    <x v="1"/>
    <x v="16"/>
    <n v="108.27"/>
    <n v="16.2"/>
    <n v="1"/>
    <x v="6"/>
    <x v="0"/>
    <n v="0.14962593516209477"/>
  </r>
  <r>
    <s v="ORD-100194"/>
    <d v="2025-05-29T00:00:00"/>
    <s v="David Thompson"/>
    <x v="3"/>
    <x v="0"/>
    <x v="0"/>
    <n v="85.02"/>
    <n v="13.45"/>
    <n v="3"/>
    <x v="7"/>
    <x v="0"/>
    <n v="0.15819807104210773"/>
  </r>
  <r>
    <s v="ORD-100195"/>
    <d v="2025-03-23T00:00:00"/>
    <s v="Susan White"/>
    <x v="3"/>
    <x v="2"/>
    <x v="24"/>
    <n v="239.72"/>
    <n v="57.7"/>
    <n v="4"/>
    <x v="4"/>
    <x v="0"/>
    <n v="0.24069748039379277"/>
  </r>
  <r>
    <s v="ORD-100196"/>
    <d v="2025-05-04T00:00:00"/>
    <s v="James Martin"/>
    <x v="0"/>
    <x v="0"/>
    <x v="3"/>
    <n v="79.760000000000005"/>
    <n v="14.07"/>
    <n v="4"/>
    <x v="7"/>
    <x v="0"/>
    <n v="0.17640421263791373"/>
  </r>
  <r>
    <s v="ORD-100197"/>
    <d v="2025-05-27T00:00:00"/>
    <s v="Jessica Zimmerman"/>
    <x v="4"/>
    <x v="1"/>
    <x v="17"/>
    <n v="844.26"/>
    <n v="152.52000000000001"/>
    <n v="6"/>
    <x v="7"/>
    <x v="0"/>
    <n v="0.18065524838319949"/>
  </r>
  <r>
    <s v="ORD-100198"/>
    <d v="2025-01-27T00:00:00"/>
    <s v="Joseph Harris"/>
    <x v="1"/>
    <x v="1"/>
    <x v="17"/>
    <n v="147.5"/>
    <n v="28.04"/>
    <n v="1"/>
    <x v="1"/>
    <x v="0"/>
    <n v="0.19010169491525422"/>
  </r>
  <r>
    <s v="ORD-100199"/>
    <d v="2025-11-16T00:00:00"/>
    <s v="Nancy Thompson"/>
    <x v="4"/>
    <x v="0"/>
    <x v="14"/>
    <n v="80.02"/>
    <n v="10.7"/>
    <n v="4"/>
    <x v="0"/>
    <x v="0"/>
    <n v="0.13371657085728567"/>
  </r>
  <r>
    <s v="ORD-100200"/>
    <d v="2025-03-15T00:00:00"/>
    <s v="James Thompson"/>
    <x v="2"/>
    <x v="1"/>
    <x v="2"/>
    <n v="32.840000000000003"/>
    <n v="7.97"/>
    <n v="1"/>
    <x v="4"/>
    <x v="0"/>
    <n v="0.24269183922046281"/>
  </r>
  <r>
    <s v="ORD-100201"/>
    <d v="2025-09-23T00:00:00"/>
    <s v="William Ruiz"/>
    <x v="2"/>
    <x v="3"/>
    <x v="15"/>
    <n v="168.69"/>
    <n v="24.93"/>
    <n v="3"/>
    <x v="10"/>
    <x v="0"/>
    <n v="0.14778587942379512"/>
  </r>
  <r>
    <s v="ORD-100202"/>
    <d v="2025-11-12T00:00:00"/>
    <s v="Betty Miller"/>
    <x v="2"/>
    <x v="1"/>
    <x v="9"/>
    <n v="1152.46"/>
    <n v="-112.35"/>
    <n v="5"/>
    <x v="0"/>
    <x v="0"/>
    <n v="-9.748711452024364E-2"/>
  </r>
  <r>
    <s v="ORD-100203"/>
    <d v="2025-06-19T00:00:00"/>
    <s v="Nancy Alvarado"/>
    <x v="3"/>
    <x v="2"/>
    <x v="8"/>
    <n v="2240.75"/>
    <n v="547.64"/>
    <n v="5"/>
    <x v="3"/>
    <x v="0"/>
    <n v="0.24440031239540333"/>
  </r>
  <r>
    <s v="ORD-100204"/>
    <d v="2025-10-24T00:00:00"/>
    <s v="Joseph Brown"/>
    <x v="4"/>
    <x v="2"/>
    <x v="22"/>
    <n v="2904.8"/>
    <n v="538.41999999999996"/>
    <n v="5"/>
    <x v="11"/>
    <x v="0"/>
    <n v="0.18535527402919302"/>
  </r>
  <r>
    <s v="ORD-100205"/>
    <d v="2025-03-17T00:00:00"/>
    <s v="Paul Brown"/>
    <x v="4"/>
    <x v="2"/>
    <x v="8"/>
    <n v="112.58"/>
    <n v="15.01"/>
    <n v="2"/>
    <x v="4"/>
    <x v="0"/>
    <n v="0.1333274116184047"/>
  </r>
  <r>
    <s v="ORD-100206"/>
    <d v="2025-12-20T00:00:00"/>
    <s v="James Anderson"/>
    <x v="2"/>
    <x v="4"/>
    <x v="13"/>
    <n v="1484.91"/>
    <n v="341.04"/>
    <n v="6"/>
    <x v="8"/>
    <x v="0"/>
    <n v="0.22967048507990384"/>
  </r>
  <r>
    <s v="ORD-100207"/>
    <d v="2025-12-06T00:00:00"/>
    <s v="Susan White"/>
    <x v="3"/>
    <x v="1"/>
    <x v="19"/>
    <n v="1544.26"/>
    <n v="263.85000000000002"/>
    <n v="4"/>
    <x v="8"/>
    <x v="0"/>
    <n v="0.17085853418465805"/>
  </r>
  <r>
    <s v="ORD-100208"/>
    <d v="2025-12-15T00:00:00"/>
    <s v="Thomas Davis"/>
    <x v="2"/>
    <x v="2"/>
    <x v="22"/>
    <n v="1821.06"/>
    <n v="446.88"/>
    <n v="3"/>
    <x v="8"/>
    <x v="0"/>
    <n v="0.24539553886198148"/>
  </r>
  <r>
    <s v="ORD-100209"/>
    <d v="2025-05-28T00:00:00"/>
    <s v="Charles Smith"/>
    <x v="3"/>
    <x v="1"/>
    <x v="17"/>
    <n v="1640.6"/>
    <n v="425.05"/>
    <n v="5"/>
    <x v="7"/>
    <x v="0"/>
    <n v="0.25908204315494332"/>
  </r>
  <r>
    <s v="ORD-100210"/>
    <d v="2025-03-04T00:00:00"/>
    <s v="Joseph Harris"/>
    <x v="3"/>
    <x v="3"/>
    <x v="20"/>
    <n v="172.5"/>
    <n v="38.07"/>
    <n v="3"/>
    <x v="4"/>
    <x v="0"/>
    <n v="0.22069565217391304"/>
  </r>
  <r>
    <s v="ORD-100211"/>
    <d v="2025-05-28T00:00:00"/>
    <s v="Charles Allen"/>
    <x v="0"/>
    <x v="3"/>
    <x v="7"/>
    <n v="188.1"/>
    <n v="24.51"/>
    <n v="6"/>
    <x v="7"/>
    <x v="0"/>
    <n v="0.13030303030303031"/>
  </r>
  <r>
    <s v="ORD-100212"/>
    <d v="2025-10-15T00:00:00"/>
    <s v="Charles Davis"/>
    <x v="1"/>
    <x v="0"/>
    <x v="1"/>
    <n v="22.12"/>
    <n v="3.33"/>
    <n v="2"/>
    <x v="11"/>
    <x v="0"/>
    <n v="0.15054249547920434"/>
  </r>
  <r>
    <s v="ORD-100213"/>
    <d v="2025-11-23T00:00:00"/>
    <s v="Linda Carpenter"/>
    <x v="4"/>
    <x v="1"/>
    <x v="16"/>
    <n v="279.36"/>
    <n v="81.83"/>
    <n v="1"/>
    <x v="0"/>
    <x v="0"/>
    <n v="0.29291953035509732"/>
  </r>
  <r>
    <s v="ORD-100214"/>
    <d v="2025-03-22T00:00:00"/>
    <s v="Elizabeth Jackson"/>
    <x v="3"/>
    <x v="4"/>
    <x v="10"/>
    <n v="267.66000000000003"/>
    <n v="30.72"/>
    <n v="3"/>
    <x v="4"/>
    <x v="0"/>
    <n v="0.11477247253978927"/>
  </r>
  <r>
    <s v="ORD-100215"/>
    <d v="2025-11-30T00:00:00"/>
    <s v="Joseph Brown"/>
    <x v="2"/>
    <x v="4"/>
    <x v="6"/>
    <n v="321.66000000000003"/>
    <n v="107.27"/>
    <n v="2"/>
    <x v="0"/>
    <x v="0"/>
    <n v="0.33348877696947082"/>
  </r>
  <r>
    <s v="ORD-100216"/>
    <d v="2025-07-23T00:00:00"/>
    <s v="Sandra Jackson"/>
    <x v="1"/>
    <x v="3"/>
    <x v="7"/>
    <n v="5.51"/>
    <n v="1.02"/>
    <n v="1"/>
    <x v="6"/>
    <x v="0"/>
    <n v="0.18511796733212343"/>
  </r>
  <r>
    <s v="ORD-100217"/>
    <d v="2025-06-21T00:00:00"/>
    <s v="Patricia Thomas"/>
    <x v="2"/>
    <x v="2"/>
    <x v="22"/>
    <n v="2212.5"/>
    <n v="249.52"/>
    <n v="5"/>
    <x v="3"/>
    <x v="0"/>
    <n v="0.11277740112994351"/>
  </r>
  <r>
    <s v="ORD-100218"/>
    <d v="2025-03-25T00:00:00"/>
    <s v="Betty Thomas"/>
    <x v="0"/>
    <x v="4"/>
    <x v="6"/>
    <n v="605.1"/>
    <n v="105.14"/>
    <n v="6"/>
    <x v="4"/>
    <x v="0"/>
    <n v="0.17375640390018179"/>
  </r>
  <r>
    <s v="ORD-100219"/>
    <d v="2025-04-09T00:00:00"/>
    <s v="Sarah Thompson"/>
    <x v="3"/>
    <x v="4"/>
    <x v="12"/>
    <n v="133.56"/>
    <n v="35.700000000000003"/>
    <n v="3"/>
    <x v="5"/>
    <x v="0"/>
    <n v="0.26729559748427673"/>
  </r>
  <r>
    <s v="ORD-100220"/>
    <d v="2025-03-13T00:00:00"/>
    <s v="Susan Wilson"/>
    <x v="1"/>
    <x v="0"/>
    <x v="18"/>
    <n v="32.340000000000003"/>
    <n v="2.91"/>
    <n v="2"/>
    <x v="4"/>
    <x v="0"/>
    <n v="8.9981447124304267E-2"/>
  </r>
  <r>
    <s v="ORD-100221"/>
    <d v="2025-10-26T00:00:00"/>
    <s v="Betty Martin"/>
    <x v="4"/>
    <x v="1"/>
    <x v="17"/>
    <n v="587.88"/>
    <n v="137.30000000000001"/>
    <n v="6"/>
    <x v="11"/>
    <x v="0"/>
    <n v="0.23355106484316529"/>
  </r>
  <r>
    <s v="ORD-100222"/>
    <d v="2025-03-23T00:00:00"/>
    <s v="David White"/>
    <x v="0"/>
    <x v="4"/>
    <x v="10"/>
    <n v="489.87"/>
    <n v="75.819999999999993"/>
    <n v="3"/>
    <x v="4"/>
    <x v="0"/>
    <n v="0.1547757568334456"/>
  </r>
  <r>
    <s v="ORD-100223"/>
    <d v="2025-03-20T00:00:00"/>
    <s v="William Thompson"/>
    <x v="0"/>
    <x v="1"/>
    <x v="9"/>
    <n v="1079.72"/>
    <n v="281.16000000000003"/>
    <n v="4"/>
    <x v="4"/>
    <x v="0"/>
    <n v="0.26040084466343127"/>
  </r>
  <r>
    <s v="ORD-100224"/>
    <d v="2025-05-07T00:00:00"/>
    <s v="Nancy Thompson"/>
    <x v="4"/>
    <x v="2"/>
    <x v="4"/>
    <n v="2106.7800000000002"/>
    <n v="497.06"/>
    <n v="6"/>
    <x v="7"/>
    <x v="0"/>
    <n v="0.23593350990611262"/>
  </r>
  <r>
    <s v="ORD-100225"/>
    <d v="2025-10-08T00:00:00"/>
    <s v="Mark White"/>
    <x v="1"/>
    <x v="2"/>
    <x v="22"/>
    <n v="644.36"/>
    <n v="108.55"/>
    <n v="2"/>
    <x v="11"/>
    <x v="0"/>
    <n v="0.16846172946799925"/>
  </r>
  <r>
    <s v="ORD-100226"/>
    <d v="2025-04-16T00:00:00"/>
    <s v="Charles Martin"/>
    <x v="3"/>
    <x v="0"/>
    <x v="1"/>
    <n v="100.88"/>
    <n v="11.91"/>
    <n v="4"/>
    <x v="5"/>
    <x v="0"/>
    <n v="0.11806106264869153"/>
  </r>
  <r>
    <s v="ORD-100227"/>
    <d v="2025-08-22T00:00:00"/>
    <s v="Joseph Carpenter"/>
    <x v="2"/>
    <x v="2"/>
    <x v="24"/>
    <n v="352.32"/>
    <n v="-21.71"/>
    <n v="6"/>
    <x v="2"/>
    <x v="0"/>
    <n v="-6.1620118074477752E-2"/>
  </r>
  <r>
    <s v="ORD-100228"/>
    <d v="2025-04-22T00:00:00"/>
    <s v="Joseph Allen"/>
    <x v="4"/>
    <x v="1"/>
    <x v="2"/>
    <n v="1740.3"/>
    <n v="499.32"/>
    <n v="5"/>
    <x v="5"/>
    <x v="0"/>
    <n v="0.2869160489570764"/>
  </r>
  <r>
    <s v="ORD-100229"/>
    <d v="2025-08-30T00:00:00"/>
    <s v="Marie Miller"/>
    <x v="3"/>
    <x v="0"/>
    <x v="0"/>
    <n v="176.76"/>
    <n v="25.96"/>
    <n v="6"/>
    <x v="2"/>
    <x v="0"/>
    <n v="0.14686580674360716"/>
  </r>
  <r>
    <s v="ORD-100230"/>
    <d v="2025-07-15T00:00:00"/>
    <s v="William Taylor"/>
    <x v="3"/>
    <x v="0"/>
    <x v="1"/>
    <n v="42.68"/>
    <n v="4.3600000000000003"/>
    <n v="2"/>
    <x v="6"/>
    <x v="0"/>
    <n v="0.10215557638238051"/>
  </r>
  <r>
    <s v="ORD-100231"/>
    <d v="2025-10-03T00:00:00"/>
    <s v="David White"/>
    <x v="1"/>
    <x v="4"/>
    <x v="21"/>
    <n v="195.14"/>
    <n v="67.25"/>
    <n v="1"/>
    <x v="11"/>
    <x v="0"/>
    <n v="0.3446243722455673"/>
  </r>
  <r>
    <s v="ORD-100232"/>
    <d v="2025-10-06T00:00:00"/>
    <s v="Elizabeth Harris"/>
    <x v="3"/>
    <x v="4"/>
    <x v="21"/>
    <n v="411.56"/>
    <n v="69.52"/>
    <n v="4"/>
    <x v="11"/>
    <x v="0"/>
    <n v="0.16891826222179024"/>
  </r>
  <r>
    <s v="ORD-100233"/>
    <d v="2025-02-27T00:00:00"/>
    <s v="Marie Anderson"/>
    <x v="2"/>
    <x v="4"/>
    <x v="6"/>
    <n v="142.74"/>
    <n v="17.87"/>
    <n v="2"/>
    <x v="9"/>
    <x v="0"/>
    <n v="0.12519265797954324"/>
  </r>
  <r>
    <s v="ORD-100234"/>
    <d v="2025-11-03T00:00:00"/>
    <s v="Nancy Carpenter"/>
    <x v="1"/>
    <x v="4"/>
    <x v="13"/>
    <n v="362.28"/>
    <n v="114.46"/>
    <n v="4"/>
    <x v="0"/>
    <x v="0"/>
    <n v="0.3159434691398918"/>
  </r>
  <r>
    <s v="ORD-100235"/>
    <d v="2025-09-15T00:00:00"/>
    <s v="Patricia Brown"/>
    <x v="2"/>
    <x v="1"/>
    <x v="9"/>
    <n v="1740.42"/>
    <n v="256.5"/>
    <n v="6"/>
    <x v="10"/>
    <x v="0"/>
    <n v="0.14737821905057399"/>
  </r>
  <r>
    <s v="ORD-100236"/>
    <d v="2025-12-05T00:00:00"/>
    <s v="Richard Brown"/>
    <x v="3"/>
    <x v="1"/>
    <x v="2"/>
    <n v="2270.9899999999998"/>
    <n v="641.14"/>
    <n v="5"/>
    <x v="8"/>
    <x v="0"/>
    <n v="0.28231740342317668"/>
  </r>
  <r>
    <s v="ORD-100237"/>
    <d v="2025-08-07T00:00:00"/>
    <s v="Jessica Jackson"/>
    <x v="4"/>
    <x v="3"/>
    <x v="20"/>
    <n v="112.65"/>
    <n v="18.3"/>
    <n v="5"/>
    <x v="2"/>
    <x v="0"/>
    <n v="0.16245006657789612"/>
  </r>
  <r>
    <s v="ORD-100238"/>
    <d v="2025-07-12T00:00:00"/>
    <s v="Sarah Harris"/>
    <x v="3"/>
    <x v="0"/>
    <x v="0"/>
    <n v="79.319999999999993"/>
    <n v="5.68"/>
    <n v="3"/>
    <x v="6"/>
    <x v="0"/>
    <n v="7.1608673726676758E-2"/>
  </r>
  <r>
    <s v="ORD-100239"/>
    <d v="2025-01-30T00:00:00"/>
    <s v="Jessica Anderson"/>
    <x v="3"/>
    <x v="2"/>
    <x v="22"/>
    <n v="995.44"/>
    <n v="114.04"/>
    <n v="4"/>
    <x v="1"/>
    <x v="0"/>
    <n v="0.11456240456481556"/>
  </r>
  <r>
    <s v="ORD-100240"/>
    <d v="2025-08-19T00:00:00"/>
    <s v="Ashley Moore"/>
    <x v="4"/>
    <x v="2"/>
    <x v="22"/>
    <n v="270.88"/>
    <n v="52.69"/>
    <n v="1"/>
    <x v="2"/>
    <x v="0"/>
    <n v="0.19451417601890136"/>
  </r>
  <r>
    <s v="ORD-100241"/>
    <d v="2025-02-07T00:00:00"/>
    <s v="James Martin"/>
    <x v="2"/>
    <x v="0"/>
    <x v="0"/>
    <n v="37.74"/>
    <n v="7.03"/>
    <n v="3"/>
    <x v="9"/>
    <x v="0"/>
    <n v="0.18627450980392157"/>
  </r>
  <r>
    <s v="ORD-100242"/>
    <d v="2025-04-08T00:00:00"/>
    <s v="Betty Alvarado"/>
    <x v="3"/>
    <x v="3"/>
    <x v="23"/>
    <n v="97.5"/>
    <n v="23.13"/>
    <n v="6"/>
    <x v="5"/>
    <x v="0"/>
    <n v="0.23723076923076922"/>
  </r>
  <r>
    <s v="ORD-100243"/>
    <d v="2025-05-25T00:00:00"/>
    <s v="David Thomas"/>
    <x v="2"/>
    <x v="4"/>
    <x v="10"/>
    <n v="317.76"/>
    <n v="101.91"/>
    <n v="3"/>
    <x v="7"/>
    <x v="0"/>
    <n v="0.32071374622356497"/>
  </r>
  <r>
    <s v="ORD-100244"/>
    <d v="2025-08-29T00:00:00"/>
    <s v="Daniel Wilson"/>
    <x v="1"/>
    <x v="1"/>
    <x v="16"/>
    <n v="205.63"/>
    <n v="29.66"/>
    <n v="1"/>
    <x v="2"/>
    <x v="0"/>
    <n v="0.14423965374702136"/>
  </r>
  <r>
    <s v="ORD-100245"/>
    <d v="2025-05-14T00:00:00"/>
    <s v="Jessica Martin"/>
    <x v="2"/>
    <x v="4"/>
    <x v="10"/>
    <n v="138.28"/>
    <n v="21.78"/>
    <n v="2"/>
    <x v="7"/>
    <x v="0"/>
    <n v="0.15750650853341047"/>
  </r>
  <r>
    <s v="ORD-100246"/>
    <d v="2025-05-06T00:00:00"/>
    <s v="Susan Harris"/>
    <x v="0"/>
    <x v="1"/>
    <x v="16"/>
    <n v="1390.56"/>
    <n v="275.5"/>
    <n v="6"/>
    <x v="7"/>
    <x v="0"/>
    <n v="0.1981216200667357"/>
  </r>
  <r>
    <s v="ORD-100247"/>
    <d v="2025-06-30T00:00:00"/>
    <s v="Sarah Ruiz"/>
    <x v="2"/>
    <x v="2"/>
    <x v="4"/>
    <n v="5179.32"/>
    <n v="875.67"/>
    <n v="6"/>
    <x v="3"/>
    <x v="0"/>
    <n v="0.16907045712564583"/>
  </r>
  <r>
    <s v="ORD-100248"/>
    <d v="2025-02-08T00:00:00"/>
    <s v="Paul Carpenter"/>
    <x v="4"/>
    <x v="1"/>
    <x v="19"/>
    <n v="253.37"/>
    <n v="25.8"/>
    <n v="1"/>
    <x v="9"/>
    <x v="0"/>
    <n v="0.10182736709160517"/>
  </r>
  <r>
    <s v="ORD-100249"/>
    <d v="2025-07-11T00:00:00"/>
    <s v="Marie Thompson"/>
    <x v="2"/>
    <x v="3"/>
    <x v="20"/>
    <n v="5.36"/>
    <n v="-0.49"/>
    <n v="1"/>
    <x v="6"/>
    <x v="0"/>
    <n v="-9.141791044776118E-2"/>
  </r>
  <r>
    <s v="ORD-100250"/>
    <d v="2025-09-29T00:00:00"/>
    <s v="Betty Davis"/>
    <x v="2"/>
    <x v="3"/>
    <x v="5"/>
    <n v="248.6"/>
    <n v="49.99"/>
    <n v="5"/>
    <x v="10"/>
    <x v="0"/>
    <n v="0.20108608205953341"/>
  </r>
  <r>
    <s v="ORD-100251"/>
    <d v="2025-04-02T00:00:00"/>
    <s v="Matthew Alvarado"/>
    <x v="2"/>
    <x v="0"/>
    <x v="0"/>
    <n v="90.8"/>
    <n v="15.64"/>
    <n v="5"/>
    <x v="5"/>
    <x v="0"/>
    <n v="0.17224669603524231"/>
  </r>
  <r>
    <s v="ORD-100252"/>
    <d v="2025-07-23T00:00:00"/>
    <s v="Kaden Moore"/>
    <x v="3"/>
    <x v="2"/>
    <x v="22"/>
    <n v="1405.44"/>
    <n v="275.87"/>
    <n v="6"/>
    <x v="6"/>
    <x v="0"/>
    <n v="0.19628728369763204"/>
  </r>
  <r>
    <s v="ORD-100253"/>
    <d v="2025-12-01T00:00:00"/>
    <s v="Ashley Carpenter"/>
    <x v="4"/>
    <x v="1"/>
    <x v="16"/>
    <n v="1143.07"/>
    <n v="274.99"/>
    <n v="5"/>
    <x v="8"/>
    <x v="0"/>
    <n v="0.24057144356863536"/>
  </r>
  <r>
    <s v="ORD-100254"/>
    <d v="2025-08-11T00:00:00"/>
    <s v="Thomas Wilson"/>
    <x v="2"/>
    <x v="3"/>
    <x v="5"/>
    <n v="277.75"/>
    <n v="37.35"/>
    <n v="5"/>
    <x v="2"/>
    <x v="0"/>
    <n v="0.13447344734473449"/>
  </r>
  <r>
    <s v="ORD-100255"/>
    <d v="2025-12-21T00:00:00"/>
    <s v="Mark Martin"/>
    <x v="3"/>
    <x v="1"/>
    <x v="2"/>
    <n v="2674.71"/>
    <n v="568.91999999999996"/>
    <n v="6"/>
    <x v="8"/>
    <x v="0"/>
    <n v="0.21270343326940114"/>
  </r>
  <r>
    <s v="ORD-100256"/>
    <d v="2025-06-11T00:00:00"/>
    <s v="Dennis Smith"/>
    <x v="2"/>
    <x v="0"/>
    <x v="18"/>
    <n v="12.48"/>
    <n v="1.68"/>
    <n v="1"/>
    <x v="3"/>
    <x v="0"/>
    <n v="0.13461538461538461"/>
  </r>
  <r>
    <s v="ORD-100257"/>
    <d v="2025-07-19T00:00:00"/>
    <s v="Nancy Harris"/>
    <x v="0"/>
    <x v="1"/>
    <x v="19"/>
    <n v="1553.82"/>
    <n v="311.01"/>
    <n v="6"/>
    <x v="6"/>
    <x v="0"/>
    <n v="0.20015831949646679"/>
  </r>
  <r>
    <s v="ORD-100258"/>
    <d v="2025-01-28T00:00:00"/>
    <s v="Matthew Anderson"/>
    <x v="1"/>
    <x v="4"/>
    <x v="10"/>
    <n v="990.15"/>
    <n v="335.38"/>
    <n v="5"/>
    <x v="1"/>
    <x v="0"/>
    <n v="0.33871635610766043"/>
  </r>
  <r>
    <s v="ORD-100259"/>
    <d v="2025-06-17T00:00:00"/>
    <s v="Dennis Davis"/>
    <x v="3"/>
    <x v="2"/>
    <x v="24"/>
    <n v="4246.8999999999996"/>
    <n v="651.53"/>
    <n v="5"/>
    <x v="3"/>
    <x v="0"/>
    <n v="0.1534130777743766"/>
  </r>
  <r>
    <s v="ORD-100260"/>
    <d v="2025-12-05T00:00:00"/>
    <s v="David Allen"/>
    <x v="2"/>
    <x v="1"/>
    <x v="19"/>
    <n v="313.45999999999998"/>
    <n v="55.17"/>
    <n v="6"/>
    <x v="8"/>
    <x v="0"/>
    <n v="0.17600331780769479"/>
  </r>
  <r>
    <s v="ORD-100261"/>
    <d v="2025-03-20T00:00:00"/>
    <s v="Betty Taylor"/>
    <x v="0"/>
    <x v="1"/>
    <x v="2"/>
    <n v="331.18"/>
    <n v="62.58"/>
    <n v="1"/>
    <x v="4"/>
    <x v="0"/>
    <n v="0.18896068603176519"/>
  </r>
  <r>
    <s v="ORD-100262"/>
    <d v="2025-02-22T00:00:00"/>
    <s v="Rita Allen"/>
    <x v="1"/>
    <x v="1"/>
    <x v="9"/>
    <n v="945.55"/>
    <n v="114.09"/>
    <n v="5"/>
    <x v="9"/>
    <x v="0"/>
    <n v="0.12065993337211148"/>
  </r>
  <r>
    <s v="ORD-100263"/>
    <d v="2025-10-11T00:00:00"/>
    <s v="Kaden Thompson"/>
    <x v="2"/>
    <x v="4"/>
    <x v="13"/>
    <n v="90.67"/>
    <n v="17.86"/>
    <n v="1"/>
    <x v="11"/>
    <x v="0"/>
    <n v="0.1969780522774898"/>
  </r>
  <r>
    <s v="ORD-100264"/>
    <d v="2025-10-14T00:00:00"/>
    <s v="Mark Brown"/>
    <x v="2"/>
    <x v="2"/>
    <x v="11"/>
    <n v="318.8"/>
    <n v="41.82"/>
    <n v="2"/>
    <x v="11"/>
    <x v="0"/>
    <n v="0.13117942283563364"/>
  </r>
  <r>
    <s v="ORD-100265"/>
    <d v="2025-02-02T00:00:00"/>
    <s v="Sarah Anderson"/>
    <x v="0"/>
    <x v="1"/>
    <x v="16"/>
    <n v="139.16999999999999"/>
    <n v="40.200000000000003"/>
    <n v="1"/>
    <x v="9"/>
    <x v="0"/>
    <n v="0.28885535675792201"/>
  </r>
  <r>
    <s v="ORD-100266"/>
    <d v="2025-09-11T00:00:00"/>
    <s v="Karen Thompson"/>
    <x v="1"/>
    <x v="2"/>
    <x v="22"/>
    <n v="137.46"/>
    <n v="20.239999999999998"/>
    <n v="3"/>
    <x v="10"/>
    <x v="0"/>
    <n v="0.14724283427906298"/>
  </r>
  <r>
    <s v="ORD-100267"/>
    <d v="2025-07-14T00:00:00"/>
    <s v="Sandra Wilson"/>
    <x v="3"/>
    <x v="1"/>
    <x v="9"/>
    <n v="238.28"/>
    <n v="52.57"/>
    <n v="2"/>
    <x v="6"/>
    <x v="0"/>
    <n v="0.22062279670975324"/>
  </r>
  <r>
    <s v="ORD-100268"/>
    <d v="2025-09-03T00:00:00"/>
    <s v="Michael Johnson"/>
    <x v="3"/>
    <x v="3"/>
    <x v="7"/>
    <n v="259.32"/>
    <n v="45.03"/>
    <n v="6"/>
    <x v="10"/>
    <x v="0"/>
    <n v="0.17364645997223507"/>
  </r>
  <r>
    <s v="ORD-100269"/>
    <d v="2025-05-05T00:00:00"/>
    <s v="Michael Taylor"/>
    <x v="0"/>
    <x v="4"/>
    <x v="13"/>
    <n v="151.86000000000001"/>
    <n v="36.590000000000003"/>
    <n v="3"/>
    <x v="7"/>
    <x v="0"/>
    <n v="0.2409456077966548"/>
  </r>
  <r>
    <s v="ORD-100270"/>
    <d v="2025-10-07T00:00:00"/>
    <s v="Sarah Harris"/>
    <x v="4"/>
    <x v="3"/>
    <x v="20"/>
    <n v="99.18"/>
    <n v="21.79"/>
    <n v="6"/>
    <x v="11"/>
    <x v="0"/>
    <n v="0.21970155273240571"/>
  </r>
  <r>
    <s v="ORD-100271"/>
    <d v="2025-02-05T00:00:00"/>
    <s v="Paul Anderson"/>
    <x v="3"/>
    <x v="0"/>
    <x v="3"/>
    <n v="22.64"/>
    <n v="1.66"/>
    <n v="2"/>
    <x v="9"/>
    <x v="0"/>
    <n v="7.3321554770318015E-2"/>
  </r>
  <r>
    <s v="ORD-100272"/>
    <d v="2025-07-13T00:00:00"/>
    <s v="Kaden Thomas"/>
    <x v="2"/>
    <x v="2"/>
    <x v="11"/>
    <n v="2378.4499999999998"/>
    <n v="562.41999999999996"/>
    <n v="5"/>
    <x v="6"/>
    <x v="0"/>
    <n v="0.23646492463579222"/>
  </r>
  <r>
    <s v="ORD-100273"/>
    <d v="2025-10-06T00:00:00"/>
    <s v="Marie Moore"/>
    <x v="2"/>
    <x v="2"/>
    <x v="8"/>
    <n v="701.3"/>
    <n v="134.5"/>
    <n v="1"/>
    <x v="11"/>
    <x v="0"/>
    <n v="0.19178668187651507"/>
  </r>
  <r>
    <s v="ORD-100274"/>
    <d v="2025-11-28T00:00:00"/>
    <s v="Karen Carpenter"/>
    <x v="2"/>
    <x v="3"/>
    <x v="20"/>
    <n v="214.28"/>
    <n v="21.77"/>
    <n v="3"/>
    <x v="0"/>
    <x v="0"/>
    <n v="0.10159604256113496"/>
  </r>
  <r>
    <s v="ORD-100275"/>
    <d v="2025-09-19T00:00:00"/>
    <s v="Betty White"/>
    <x v="2"/>
    <x v="2"/>
    <x v="4"/>
    <n v="846.74"/>
    <n v="124.04"/>
    <n v="2"/>
    <x v="10"/>
    <x v="0"/>
    <n v="0.14649124878947492"/>
  </r>
  <r>
    <s v="ORD-100276"/>
    <d v="2025-10-29T00:00:00"/>
    <s v="Charles White"/>
    <x v="1"/>
    <x v="1"/>
    <x v="2"/>
    <n v="218"/>
    <n v="39.94"/>
    <n v="4"/>
    <x v="11"/>
    <x v="0"/>
    <n v="0.18321100917431191"/>
  </r>
  <r>
    <s v="ORD-100277"/>
    <d v="2025-03-01T00:00:00"/>
    <s v="Paul Ruiz"/>
    <x v="0"/>
    <x v="1"/>
    <x v="16"/>
    <n v="383.94"/>
    <n v="65.14"/>
    <n v="2"/>
    <x v="4"/>
    <x v="0"/>
    <n v="0.1696619263426577"/>
  </r>
  <r>
    <s v="ORD-100278"/>
    <d v="2025-12-23T00:00:00"/>
    <s v="William Wilson"/>
    <x v="4"/>
    <x v="1"/>
    <x v="2"/>
    <n v="388.62"/>
    <n v="91.49"/>
    <n v="1"/>
    <x v="8"/>
    <x v="0"/>
    <n v="0.23542277803509853"/>
  </r>
  <r>
    <s v="ORD-100279"/>
    <d v="2025-05-05T00:00:00"/>
    <s v="Richard Johnson"/>
    <x v="2"/>
    <x v="0"/>
    <x v="1"/>
    <n v="115.84"/>
    <n v="9.82"/>
    <n v="4"/>
    <x v="7"/>
    <x v="0"/>
    <n v="8.4772099447513807E-2"/>
  </r>
  <r>
    <s v="ORD-100280"/>
    <d v="2025-04-05T00:00:00"/>
    <s v="Sarah Anderson"/>
    <x v="3"/>
    <x v="0"/>
    <x v="1"/>
    <n v="32.479999999999997"/>
    <n v="-1.86"/>
    <n v="2"/>
    <x v="5"/>
    <x v="0"/>
    <n v="-5.7266009852216755E-2"/>
  </r>
  <r>
    <s v="ORD-100281"/>
    <d v="2025-04-20T00:00:00"/>
    <s v="James Davis"/>
    <x v="4"/>
    <x v="2"/>
    <x v="4"/>
    <n v="709.16"/>
    <n v="80.489999999999995"/>
    <n v="2"/>
    <x v="5"/>
    <x v="0"/>
    <n v="0.11350047944046478"/>
  </r>
  <r>
    <s v="ORD-100282"/>
    <d v="2025-12-10T00:00:00"/>
    <s v="Ashley Jackson"/>
    <x v="2"/>
    <x v="3"/>
    <x v="7"/>
    <n v="160.62"/>
    <n v="18.809999999999999"/>
    <n v="5"/>
    <x v="8"/>
    <x v="0"/>
    <n v="0.11710870377288007"/>
  </r>
  <r>
    <s v="ORD-100283"/>
    <d v="2025-08-23T00:00:00"/>
    <s v="Karen Johnson"/>
    <x v="0"/>
    <x v="3"/>
    <x v="23"/>
    <n v="41.97"/>
    <n v="6.17"/>
    <n v="1"/>
    <x v="2"/>
    <x v="0"/>
    <n v="0.14700976888253514"/>
  </r>
  <r>
    <s v="ORD-100284"/>
    <d v="2025-03-01T00:00:00"/>
    <s v="Sarah Moore"/>
    <x v="1"/>
    <x v="2"/>
    <x v="11"/>
    <n v="792.85"/>
    <n v="115.15"/>
    <n v="5"/>
    <x v="4"/>
    <x v="0"/>
    <n v="0.14523554266254651"/>
  </r>
  <r>
    <s v="ORD-100285"/>
    <d v="2025-11-22T00:00:00"/>
    <s v="Jessica Johnson"/>
    <x v="2"/>
    <x v="0"/>
    <x v="3"/>
    <n v="26.19"/>
    <n v="3.74"/>
    <n v="2"/>
    <x v="0"/>
    <x v="0"/>
    <n v="0.14280259641084384"/>
  </r>
  <r>
    <s v="ORD-100286"/>
    <d v="2025-01-05T00:00:00"/>
    <s v="Susan Ruiz"/>
    <x v="1"/>
    <x v="4"/>
    <x v="12"/>
    <n v="859.7"/>
    <n v="173.9"/>
    <n v="5"/>
    <x v="1"/>
    <x v="0"/>
    <n v="0.2022798650692102"/>
  </r>
  <r>
    <s v="ORD-100287"/>
    <d v="2025-12-30T00:00:00"/>
    <s v="Paul Thomas"/>
    <x v="3"/>
    <x v="0"/>
    <x v="1"/>
    <n v="29.04"/>
    <n v="1.59"/>
    <n v="1"/>
    <x v="8"/>
    <x v="0"/>
    <n v="5.4752066115702484E-2"/>
  </r>
  <r>
    <s v="ORD-100288"/>
    <d v="2025-05-28T00:00:00"/>
    <s v="Sarah Thomas"/>
    <x v="2"/>
    <x v="4"/>
    <x v="13"/>
    <n v="699.65"/>
    <n v="170.14"/>
    <n v="5"/>
    <x v="7"/>
    <x v="0"/>
    <n v="0.24317873222325448"/>
  </r>
  <r>
    <s v="ORD-100289"/>
    <d v="2025-10-06T00:00:00"/>
    <s v="Paul Moore"/>
    <x v="2"/>
    <x v="4"/>
    <x v="6"/>
    <n v="745.86"/>
    <n v="115.34"/>
    <n v="6"/>
    <x v="11"/>
    <x v="0"/>
    <n v="0.15464028101788541"/>
  </r>
  <r>
    <s v="ORD-100290"/>
    <d v="2025-12-01T00:00:00"/>
    <s v="Daniel Brown"/>
    <x v="0"/>
    <x v="3"/>
    <x v="5"/>
    <n v="105.7"/>
    <n v="11.95"/>
    <n v="4"/>
    <x v="8"/>
    <x v="0"/>
    <n v="0.11305581835383159"/>
  </r>
  <r>
    <s v="ORD-100291"/>
    <d v="2025-03-02T00:00:00"/>
    <s v="Daniel Brown"/>
    <x v="1"/>
    <x v="4"/>
    <x v="12"/>
    <n v="623.34"/>
    <n v="173.09"/>
    <n v="6"/>
    <x v="4"/>
    <x v="0"/>
    <n v="0.27768152212275804"/>
  </r>
  <r>
    <s v="ORD-100292"/>
    <d v="2025-03-26T00:00:00"/>
    <s v="Karen Ruiz"/>
    <x v="1"/>
    <x v="4"/>
    <x v="6"/>
    <n v="519.65"/>
    <n v="88.48"/>
    <n v="5"/>
    <x v="4"/>
    <x v="0"/>
    <n v="0.17026844991821419"/>
  </r>
  <r>
    <s v="ORD-100293"/>
    <d v="2025-06-15T00:00:00"/>
    <s v="Charles Miller"/>
    <x v="0"/>
    <x v="2"/>
    <x v="4"/>
    <n v="4446.3599999999997"/>
    <n v="458.2"/>
    <n v="6"/>
    <x v="3"/>
    <x v="0"/>
    <n v="0.10305058519777976"/>
  </r>
  <r>
    <s v="ORD-100294"/>
    <d v="2025-07-30T00:00:00"/>
    <s v="Emily Carpenter"/>
    <x v="0"/>
    <x v="3"/>
    <x v="15"/>
    <n v="315.77999999999997"/>
    <n v="43.4"/>
    <n v="6"/>
    <x v="6"/>
    <x v="0"/>
    <n v="0.13743745645702704"/>
  </r>
  <r>
    <s v="ORD-100295"/>
    <d v="2025-05-07T00:00:00"/>
    <s v="Daniel Taylor"/>
    <x v="3"/>
    <x v="0"/>
    <x v="3"/>
    <n v="92.16"/>
    <n v="10.86"/>
    <n v="6"/>
    <x v="7"/>
    <x v="0"/>
    <n v="0.11783854166666667"/>
  </r>
  <r>
    <s v="ORD-100296"/>
    <d v="2025-02-17T00:00:00"/>
    <s v="David White"/>
    <x v="0"/>
    <x v="4"/>
    <x v="10"/>
    <n v="955.24"/>
    <n v="-86.84"/>
    <n v="4"/>
    <x v="9"/>
    <x v="0"/>
    <n v="-9.0909090909090912E-2"/>
  </r>
  <r>
    <s v="ORD-100297"/>
    <d v="2025-02-17T00:00:00"/>
    <s v="Betty Thomas"/>
    <x v="0"/>
    <x v="3"/>
    <x v="23"/>
    <n v="67.92"/>
    <n v="11.17"/>
    <n v="4"/>
    <x v="9"/>
    <x v="0"/>
    <n v="0.16445818610129564"/>
  </r>
  <r>
    <s v="ORD-100298"/>
    <d v="2025-05-18T00:00:00"/>
    <s v="Michael Miller"/>
    <x v="0"/>
    <x v="2"/>
    <x v="22"/>
    <n v="3865.4"/>
    <n v="827.24"/>
    <n v="5"/>
    <x v="7"/>
    <x v="0"/>
    <n v="0.21401148652144666"/>
  </r>
  <r>
    <s v="ORD-100299"/>
    <d v="2025-01-25T00:00:00"/>
    <s v="Marie Alvarado"/>
    <x v="3"/>
    <x v="0"/>
    <x v="0"/>
    <n v="65.64"/>
    <n v="13.05"/>
    <n v="4"/>
    <x v="1"/>
    <x v="0"/>
    <n v="0.19881170018281535"/>
  </r>
  <r>
    <s v="ORD-100300"/>
    <d v="2025-12-19T00:00:00"/>
    <s v="Emily Ruiz"/>
    <x v="0"/>
    <x v="0"/>
    <x v="3"/>
    <n v="25.1"/>
    <n v="2.65"/>
    <n v="1"/>
    <x v="8"/>
    <x v="0"/>
    <n v="0.10557768924302788"/>
  </r>
  <r>
    <s v="ORD-100301"/>
    <d v="2025-03-26T00:00:00"/>
    <s v="Marie Taylor"/>
    <x v="0"/>
    <x v="4"/>
    <x v="21"/>
    <n v="689.92"/>
    <n v="-95.18"/>
    <n v="4"/>
    <x v="4"/>
    <x v="0"/>
    <n v="-0.13795802411873842"/>
  </r>
  <r>
    <s v="ORD-100302"/>
    <d v="2025-09-02T00:00:00"/>
    <s v="Kaden Ruiz"/>
    <x v="2"/>
    <x v="0"/>
    <x v="18"/>
    <n v="5.2"/>
    <n v="0.53"/>
    <n v="1"/>
    <x v="10"/>
    <x v="0"/>
    <n v="0.10192307692307692"/>
  </r>
  <r>
    <s v="ORD-100303"/>
    <d v="2025-08-05T00:00:00"/>
    <s v="Charles Ruiz"/>
    <x v="3"/>
    <x v="0"/>
    <x v="18"/>
    <n v="23.27"/>
    <n v="1.52"/>
    <n v="1"/>
    <x v="2"/>
    <x v="0"/>
    <n v="6.5320154705629574E-2"/>
  </r>
  <r>
    <s v="ORD-100304"/>
    <d v="2025-06-03T00:00:00"/>
    <s v="Rita Taylor"/>
    <x v="1"/>
    <x v="4"/>
    <x v="21"/>
    <n v="144.36000000000001"/>
    <n v="14.74"/>
    <n v="1"/>
    <x v="3"/>
    <x v="0"/>
    <n v="0.10210584649487392"/>
  </r>
  <r>
    <s v="ORD-100305"/>
    <d v="2025-08-14T00:00:00"/>
    <s v="Jennifer Smith"/>
    <x v="1"/>
    <x v="3"/>
    <x v="23"/>
    <n v="175.98"/>
    <n v="23.33"/>
    <n v="6"/>
    <x v="2"/>
    <x v="0"/>
    <n v="0.13257188316854188"/>
  </r>
  <r>
    <s v="ORD-100306"/>
    <d v="2025-03-13T00:00:00"/>
    <s v="Daniel Alvarado"/>
    <x v="2"/>
    <x v="4"/>
    <x v="10"/>
    <n v="383.04"/>
    <n v="51.69"/>
    <n v="4"/>
    <x v="4"/>
    <x v="0"/>
    <n v="0.13494674185463656"/>
  </r>
  <r>
    <s v="ORD-100307"/>
    <d v="2025-02-13T00:00:00"/>
    <s v="Linda Harris"/>
    <x v="2"/>
    <x v="4"/>
    <x v="12"/>
    <n v="600.80999999999995"/>
    <n v="163.79"/>
    <n v="3"/>
    <x v="9"/>
    <x v="0"/>
    <n v="0.27261530267472245"/>
  </r>
  <r>
    <s v="ORD-100308"/>
    <d v="2025-12-04T00:00:00"/>
    <s v="Mark Miller"/>
    <x v="1"/>
    <x v="2"/>
    <x v="4"/>
    <n v="1624.07"/>
    <n v="144.99"/>
    <n v="2"/>
    <x v="8"/>
    <x v="0"/>
    <n v="8.9275708559360137E-2"/>
  </r>
  <r>
    <s v="ORD-100309"/>
    <d v="2025-05-03T00:00:00"/>
    <s v="Susan Taylor"/>
    <x v="4"/>
    <x v="0"/>
    <x v="1"/>
    <n v="18.21"/>
    <n v="3.58"/>
    <n v="1"/>
    <x v="7"/>
    <x v="0"/>
    <n v="0.19659527732015375"/>
  </r>
  <r>
    <s v="ORD-100310"/>
    <d v="2025-06-12T00:00:00"/>
    <s v="Rita Taylor"/>
    <x v="2"/>
    <x v="1"/>
    <x v="9"/>
    <n v="462.06"/>
    <n v="89.73"/>
    <n v="6"/>
    <x v="3"/>
    <x v="0"/>
    <n v="0.19419555901830932"/>
  </r>
  <r>
    <s v="ORD-100311"/>
    <d v="2025-02-07T00:00:00"/>
    <s v="Dennis Martin"/>
    <x v="4"/>
    <x v="0"/>
    <x v="0"/>
    <n v="28.06"/>
    <n v="5.4"/>
    <n v="1"/>
    <x v="9"/>
    <x v="0"/>
    <n v="0.19244476122594442"/>
  </r>
  <r>
    <s v="ORD-100312"/>
    <d v="2025-05-27T00:00:00"/>
    <s v="Thomas White"/>
    <x v="3"/>
    <x v="1"/>
    <x v="16"/>
    <n v="231.38"/>
    <n v="48.02"/>
    <n v="1"/>
    <x v="7"/>
    <x v="0"/>
    <n v="0.20753738438931629"/>
  </r>
  <r>
    <s v="ORD-100313"/>
    <d v="2025-02-12T00:00:00"/>
    <s v="Patricia Allen"/>
    <x v="2"/>
    <x v="3"/>
    <x v="15"/>
    <n v="114.85"/>
    <n v="21.59"/>
    <n v="5"/>
    <x v="9"/>
    <x v="0"/>
    <n v="0.18798432738354376"/>
  </r>
  <r>
    <s v="ORD-100314"/>
    <d v="2025-11-29T00:00:00"/>
    <s v="Nancy Allen"/>
    <x v="0"/>
    <x v="4"/>
    <x v="21"/>
    <n v="110.2"/>
    <n v="14.22"/>
    <n v="1"/>
    <x v="0"/>
    <x v="0"/>
    <n v="0.12903811252268602"/>
  </r>
  <r>
    <s v="ORD-100315"/>
    <d v="2025-01-29T00:00:00"/>
    <s v="Patricia Johnson"/>
    <x v="4"/>
    <x v="0"/>
    <x v="0"/>
    <n v="31.68"/>
    <n v="3.94"/>
    <n v="6"/>
    <x v="1"/>
    <x v="0"/>
    <n v="0.12436868686868686"/>
  </r>
  <r>
    <s v="ORD-100316"/>
    <d v="2025-09-22T00:00:00"/>
    <s v="Sandra Davis"/>
    <x v="1"/>
    <x v="1"/>
    <x v="17"/>
    <n v="1875.12"/>
    <n v="-238.41"/>
    <n v="6"/>
    <x v="10"/>
    <x v="0"/>
    <n v="-0.12714386279278128"/>
  </r>
  <r>
    <s v="ORD-100317"/>
    <d v="2025-08-08T00:00:00"/>
    <s v="Robert White"/>
    <x v="4"/>
    <x v="1"/>
    <x v="9"/>
    <n v="272.58"/>
    <n v="52.07"/>
    <n v="6"/>
    <x v="2"/>
    <x v="0"/>
    <n v="0.19102648763665714"/>
  </r>
  <r>
    <s v="ORD-100318"/>
    <d v="2025-09-13T00:00:00"/>
    <s v="Ashley Martin"/>
    <x v="1"/>
    <x v="1"/>
    <x v="17"/>
    <n v="315.11"/>
    <n v="74"/>
    <n v="1"/>
    <x v="10"/>
    <x v="0"/>
    <n v="0.23483862778077497"/>
  </r>
  <r>
    <s v="ORD-100319"/>
    <d v="2025-09-18T00:00:00"/>
    <s v="Dennis Carpenter"/>
    <x v="4"/>
    <x v="0"/>
    <x v="18"/>
    <n v="43.71"/>
    <n v="3.17"/>
    <n v="3"/>
    <x v="10"/>
    <x v="0"/>
    <n v="7.2523450011439033E-2"/>
  </r>
  <r>
    <s v="ORD-100320"/>
    <d v="2025-01-19T00:00:00"/>
    <s v="Jessica Anderson"/>
    <x v="1"/>
    <x v="1"/>
    <x v="16"/>
    <n v="753.48"/>
    <n v="199.82"/>
    <n v="6"/>
    <x v="1"/>
    <x v="0"/>
    <n v="0.26519615650050432"/>
  </r>
  <r>
    <s v="ORD-100321"/>
    <d v="2025-03-03T00:00:00"/>
    <s v="Richard Carpenter"/>
    <x v="1"/>
    <x v="0"/>
    <x v="1"/>
    <n v="28.85"/>
    <n v="1.74"/>
    <n v="1"/>
    <x v="4"/>
    <x v="0"/>
    <n v="6.0311958405545922E-2"/>
  </r>
  <r>
    <s v="ORD-100322"/>
    <d v="2025-05-25T00:00:00"/>
    <s v="Daniel Miller"/>
    <x v="0"/>
    <x v="0"/>
    <x v="18"/>
    <n v="14.22"/>
    <n v="1.33"/>
    <n v="1"/>
    <x v="7"/>
    <x v="0"/>
    <n v="9.3530239099859358E-2"/>
  </r>
  <r>
    <s v="ORD-100323"/>
    <d v="2025-11-15T00:00:00"/>
    <s v="Linda Thomas"/>
    <x v="0"/>
    <x v="2"/>
    <x v="11"/>
    <n v="1693.51"/>
    <n v="364.64"/>
    <n v="2"/>
    <x v="0"/>
    <x v="0"/>
    <n v="0.21531611859392621"/>
  </r>
  <r>
    <s v="ORD-100324"/>
    <d v="2025-07-29T00:00:00"/>
    <s v="Dennis Brown"/>
    <x v="2"/>
    <x v="1"/>
    <x v="2"/>
    <n v="61.44"/>
    <n v="14.22"/>
    <n v="3"/>
    <x v="6"/>
    <x v="0"/>
    <n v="0.23144531250000003"/>
  </r>
  <r>
    <s v="ORD-100325"/>
    <d v="2025-06-07T00:00:00"/>
    <s v="Matthew Smith"/>
    <x v="2"/>
    <x v="3"/>
    <x v="20"/>
    <n v="231.48"/>
    <n v="56.92"/>
    <n v="4"/>
    <x v="3"/>
    <x v="0"/>
    <n v="0.24589597373423192"/>
  </r>
  <r>
    <s v="ORD-100326"/>
    <d v="2025-05-24T00:00:00"/>
    <s v="Kaden Carpenter"/>
    <x v="1"/>
    <x v="3"/>
    <x v="23"/>
    <n v="174.2"/>
    <n v="27.15"/>
    <n v="4"/>
    <x v="7"/>
    <x v="0"/>
    <n v="0.15585533869115958"/>
  </r>
  <r>
    <s v="ORD-100327"/>
    <d v="2025-02-13T00:00:00"/>
    <s v="Joseph Alvarado"/>
    <x v="2"/>
    <x v="0"/>
    <x v="18"/>
    <n v="19.8"/>
    <n v="1.17"/>
    <n v="1"/>
    <x v="9"/>
    <x v="0"/>
    <n v="5.9090909090909083E-2"/>
  </r>
  <r>
    <s v="ORD-100328"/>
    <d v="2025-03-08T00:00:00"/>
    <s v="Linda Miller"/>
    <x v="0"/>
    <x v="3"/>
    <x v="20"/>
    <n v="304.5"/>
    <n v="45.35"/>
    <n v="6"/>
    <x v="4"/>
    <x v="0"/>
    <n v="0.14893267651888342"/>
  </r>
  <r>
    <s v="ORD-100329"/>
    <d v="2025-04-30T00:00:00"/>
    <s v="Kaden Smith"/>
    <x v="1"/>
    <x v="4"/>
    <x v="12"/>
    <n v="59.97"/>
    <n v="8.4600000000000009"/>
    <n v="1"/>
    <x v="5"/>
    <x v="0"/>
    <n v="0.14107053526763383"/>
  </r>
  <r>
    <s v="ORD-100330"/>
    <d v="2025-07-28T00:00:00"/>
    <s v="Matthew Harris"/>
    <x v="0"/>
    <x v="3"/>
    <x v="15"/>
    <n v="87.84"/>
    <n v="12.28"/>
    <n v="4"/>
    <x v="6"/>
    <x v="0"/>
    <n v="0.13979963570127504"/>
  </r>
  <r>
    <s v="ORD-100331"/>
    <d v="2025-03-22T00:00:00"/>
    <s v="Sandra Miller"/>
    <x v="2"/>
    <x v="0"/>
    <x v="3"/>
    <n v="14.56"/>
    <n v="1.27"/>
    <n v="2"/>
    <x v="4"/>
    <x v="0"/>
    <n v="8.7225274725274721E-2"/>
  </r>
  <r>
    <s v="ORD-100332"/>
    <d v="2025-09-20T00:00:00"/>
    <s v="Marie Miller"/>
    <x v="0"/>
    <x v="4"/>
    <x v="21"/>
    <n v="239.22"/>
    <n v="75.03"/>
    <n v="1"/>
    <x v="10"/>
    <x v="0"/>
    <n v="0.31364434411838477"/>
  </r>
  <r>
    <s v="ORD-100333"/>
    <d v="2025-10-09T00:00:00"/>
    <s v="Linda Alvarado"/>
    <x v="3"/>
    <x v="0"/>
    <x v="0"/>
    <n v="5.3"/>
    <n v="0.93"/>
    <n v="1"/>
    <x v="11"/>
    <x v="0"/>
    <n v="0.17547169811320756"/>
  </r>
  <r>
    <s v="ORD-100334"/>
    <d v="2025-03-08T00:00:00"/>
    <s v="James Taylor"/>
    <x v="0"/>
    <x v="4"/>
    <x v="6"/>
    <n v="784.4"/>
    <n v="258.35000000000002"/>
    <n v="5"/>
    <x v="4"/>
    <x v="0"/>
    <n v="0.3293600203977563"/>
  </r>
  <r>
    <s v="ORD-100335"/>
    <d v="2025-02-03T00:00:00"/>
    <s v="James Thomas"/>
    <x v="1"/>
    <x v="0"/>
    <x v="3"/>
    <n v="6.07"/>
    <n v="0.72"/>
    <n v="1"/>
    <x v="9"/>
    <x v="0"/>
    <n v="0.11861614497528829"/>
  </r>
  <r>
    <s v="ORD-100336"/>
    <d v="2025-10-21T00:00:00"/>
    <s v="Elizabeth Taylor"/>
    <x v="3"/>
    <x v="0"/>
    <x v="18"/>
    <n v="27.7"/>
    <n v="5.16"/>
    <n v="2"/>
    <x v="11"/>
    <x v="0"/>
    <n v="0.18628158844765344"/>
  </r>
  <r>
    <s v="ORD-100337"/>
    <d v="2025-08-17T00:00:00"/>
    <s v="Mark Ruiz"/>
    <x v="4"/>
    <x v="4"/>
    <x v="12"/>
    <n v="341.28"/>
    <n v="76.69"/>
    <n v="2"/>
    <x v="2"/>
    <x v="0"/>
    <n v="0.22471284575714956"/>
  </r>
  <r>
    <s v="ORD-100338"/>
    <d v="2025-09-03T00:00:00"/>
    <s v="Marie Allen"/>
    <x v="0"/>
    <x v="1"/>
    <x v="16"/>
    <n v="464.16"/>
    <n v="120.42"/>
    <n v="2"/>
    <x v="10"/>
    <x v="0"/>
    <n v="0.25943640124095141"/>
  </r>
  <r>
    <s v="ORD-100339"/>
    <d v="2025-10-06T00:00:00"/>
    <s v="Sandra Zimmerman"/>
    <x v="3"/>
    <x v="4"/>
    <x v="10"/>
    <n v="590.08000000000004"/>
    <n v="130.51"/>
    <n v="4"/>
    <x v="11"/>
    <x v="0"/>
    <n v="0.2211734002169197"/>
  </r>
  <r>
    <s v="ORD-100340"/>
    <d v="2025-09-15T00:00:00"/>
    <s v="Michael Taylor"/>
    <x v="0"/>
    <x v="0"/>
    <x v="3"/>
    <n v="52.4"/>
    <n v="9.66"/>
    <n v="5"/>
    <x v="10"/>
    <x v="0"/>
    <n v="0.18435114503816794"/>
  </r>
  <r>
    <s v="ORD-100341"/>
    <d v="2025-01-30T00:00:00"/>
    <s v="Sandra Jackson"/>
    <x v="2"/>
    <x v="1"/>
    <x v="9"/>
    <n v="682.82"/>
    <n v="81.96"/>
    <n v="2"/>
    <x v="1"/>
    <x v="0"/>
    <n v="0.12003163351981487"/>
  </r>
  <r>
    <s v="ORD-100342"/>
    <d v="2025-05-17T00:00:00"/>
    <s v="Jessica Carpenter"/>
    <x v="1"/>
    <x v="2"/>
    <x v="11"/>
    <n v="2532.84"/>
    <n v="629.57000000000005"/>
    <n v="3"/>
    <x v="7"/>
    <x v="0"/>
    <n v="0.24856287803414351"/>
  </r>
  <r>
    <s v="ORD-100343"/>
    <d v="2025-05-02T00:00:00"/>
    <s v="Joseph Wilson"/>
    <x v="0"/>
    <x v="3"/>
    <x v="5"/>
    <n v="261.18"/>
    <n v="63.24"/>
    <n v="6"/>
    <x v="7"/>
    <x v="0"/>
    <n v="0.2421318630829313"/>
  </r>
  <r>
    <s v="ORD-100344"/>
    <d v="2025-10-16T00:00:00"/>
    <s v="James Jackson"/>
    <x v="2"/>
    <x v="1"/>
    <x v="16"/>
    <n v="49.78"/>
    <n v="7.29"/>
    <n v="1"/>
    <x v="11"/>
    <x v="0"/>
    <n v="0.14644435516271595"/>
  </r>
  <r>
    <s v="ORD-100345"/>
    <d v="2025-09-27T00:00:00"/>
    <s v="Susan Zimmerman"/>
    <x v="0"/>
    <x v="3"/>
    <x v="15"/>
    <n v="47.48"/>
    <n v="6.01"/>
    <n v="2"/>
    <x v="10"/>
    <x v="0"/>
    <n v="0.12657961246840777"/>
  </r>
  <r>
    <s v="ORD-100346"/>
    <d v="2025-06-15T00:00:00"/>
    <s v="Marie Zimmerman"/>
    <x v="1"/>
    <x v="2"/>
    <x v="22"/>
    <n v="767.97"/>
    <n v="173.8"/>
    <n v="1"/>
    <x v="3"/>
    <x v="0"/>
    <n v="0.2263109236037866"/>
  </r>
  <r>
    <s v="ORD-100347"/>
    <d v="2025-07-11T00:00:00"/>
    <s v="Charles Taylor"/>
    <x v="2"/>
    <x v="0"/>
    <x v="3"/>
    <n v="25.23"/>
    <n v="1.86"/>
    <n v="3"/>
    <x v="6"/>
    <x v="0"/>
    <n v="7.3721759809750306E-2"/>
  </r>
  <r>
    <s v="ORD-100348"/>
    <d v="2025-11-24T00:00:00"/>
    <s v="Susan Wilson"/>
    <x v="1"/>
    <x v="4"/>
    <x v="12"/>
    <n v="1734.78"/>
    <n v="328.23"/>
    <n v="6"/>
    <x v="0"/>
    <x v="0"/>
    <n v="0.18920554767751532"/>
  </r>
  <r>
    <s v="ORD-100349"/>
    <d v="2025-03-31T00:00:00"/>
    <s v="David Miller"/>
    <x v="0"/>
    <x v="0"/>
    <x v="14"/>
    <n v="172.32"/>
    <n v="18.739999999999998"/>
    <n v="6"/>
    <x v="4"/>
    <x v="0"/>
    <n v="0.10875116063138347"/>
  </r>
  <r>
    <s v="ORD-100350"/>
    <d v="2025-10-18T00:00:00"/>
    <s v="Marie Johnson"/>
    <x v="2"/>
    <x v="1"/>
    <x v="9"/>
    <n v="462.16"/>
    <n v="55.84"/>
    <n v="2"/>
    <x v="11"/>
    <x v="0"/>
    <n v="0.1208239570711442"/>
  </r>
  <r>
    <s v="ORD-100351"/>
    <d v="2025-06-19T00:00:00"/>
    <s v="Betty Allen"/>
    <x v="1"/>
    <x v="1"/>
    <x v="17"/>
    <n v="459.88"/>
    <n v="134.57"/>
    <n v="2"/>
    <x v="3"/>
    <x v="0"/>
    <n v="0.29261981386448638"/>
  </r>
  <r>
    <s v="ORD-100352"/>
    <d v="2025-12-10T00:00:00"/>
    <s v="Thomas Wilson"/>
    <x v="3"/>
    <x v="0"/>
    <x v="0"/>
    <n v="53.82"/>
    <n v="9.0399999999999991"/>
    <n v="2"/>
    <x v="8"/>
    <x v="0"/>
    <n v="0.16796729840208099"/>
  </r>
  <r>
    <s v="ORD-100353"/>
    <d v="2025-01-25T00:00:00"/>
    <s v="David Thomas"/>
    <x v="3"/>
    <x v="3"/>
    <x v="20"/>
    <n v="214"/>
    <n v="32.67"/>
    <n v="4"/>
    <x v="1"/>
    <x v="0"/>
    <n v="0.15266355140186916"/>
  </r>
  <r>
    <s v="ORD-100354"/>
    <d v="2025-09-03T00:00:00"/>
    <s v="Sandra Martin"/>
    <x v="1"/>
    <x v="0"/>
    <x v="14"/>
    <n v="12.37"/>
    <n v="1.21"/>
    <n v="1"/>
    <x v="10"/>
    <x v="0"/>
    <n v="9.7817299919159259E-2"/>
  </r>
  <r>
    <s v="ORD-100355"/>
    <d v="2025-02-07T00:00:00"/>
    <s v="Michael Johnson"/>
    <x v="3"/>
    <x v="0"/>
    <x v="14"/>
    <n v="142.75"/>
    <n v="28.08"/>
    <n v="5"/>
    <x v="9"/>
    <x v="0"/>
    <n v="0.19670753064798599"/>
  </r>
  <r>
    <s v="ORD-100356"/>
    <d v="2025-11-11T00:00:00"/>
    <s v="Mark Jackson"/>
    <x v="4"/>
    <x v="1"/>
    <x v="19"/>
    <n v="1798.82"/>
    <n v="216.31"/>
    <n v="5"/>
    <x v="0"/>
    <x v="0"/>
    <n v="0.12025105346838484"/>
  </r>
  <r>
    <s v="ORD-100357"/>
    <d v="2025-04-08T00:00:00"/>
    <s v="Elizabeth Harris"/>
    <x v="2"/>
    <x v="1"/>
    <x v="17"/>
    <n v="295.17"/>
    <n v="32.450000000000003"/>
    <n v="3"/>
    <x v="5"/>
    <x v="0"/>
    <n v="0.10993664667818545"/>
  </r>
  <r>
    <s v="ORD-100358"/>
    <d v="2025-09-09T00:00:00"/>
    <s v="Rita Carpenter"/>
    <x v="0"/>
    <x v="0"/>
    <x v="14"/>
    <n v="76.8"/>
    <n v="11.04"/>
    <n v="3"/>
    <x v="10"/>
    <x v="0"/>
    <n v="0.14374999999999999"/>
  </r>
  <r>
    <s v="ORD-100359"/>
    <d v="2025-02-19T00:00:00"/>
    <s v="Dennis Smith"/>
    <x v="1"/>
    <x v="4"/>
    <x v="6"/>
    <n v="859.4"/>
    <n v="152.19"/>
    <n v="4"/>
    <x v="9"/>
    <x v="0"/>
    <n v="0.17708866651151967"/>
  </r>
  <r>
    <s v="ORD-100360"/>
    <d v="2025-09-08T00:00:00"/>
    <s v="Mark Davis"/>
    <x v="4"/>
    <x v="4"/>
    <x v="13"/>
    <n v="216.96"/>
    <n v="42.39"/>
    <n v="2"/>
    <x v="10"/>
    <x v="0"/>
    <n v="0.19538163716814158"/>
  </r>
  <r>
    <s v="ORD-100361"/>
    <d v="2025-01-23T00:00:00"/>
    <s v="Robert Thomas"/>
    <x v="3"/>
    <x v="1"/>
    <x v="17"/>
    <n v="201.7"/>
    <n v="50.52"/>
    <n v="5"/>
    <x v="1"/>
    <x v="0"/>
    <n v="0.25047099652949928"/>
  </r>
  <r>
    <s v="ORD-100362"/>
    <d v="2025-02-13T00:00:00"/>
    <s v="Nancy Moore"/>
    <x v="2"/>
    <x v="1"/>
    <x v="9"/>
    <n v="405.38"/>
    <n v="108.71"/>
    <n v="2"/>
    <x v="9"/>
    <x v="0"/>
    <n v="0.26816813853668164"/>
  </r>
  <r>
    <s v="ORD-100363"/>
    <d v="2025-08-03T00:00:00"/>
    <s v="Jessica Jackson"/>
    <x v="2"/>
    <x v="3"/>
    <x v="20"/>
    <n v="28.02"/>
    <n v="6.6"/>
    <n v="3"/>
    <x v="2"/>
    <x v="0"/>
    <n v="0.23554603854389722"/>
  </r>
  <r>
    <s v="ORD-100364"/>
    <d v="2025-09-15T00:00:00"/>
    <s v="Joseph White"/>
    <x v="2"/>
    <x v="4"/>
    <x v="12"/>
    <n v="104.12"/>
    <n v="30.12"/>
    <n v="2"/>
    <x v="10"/>
    <x v="0"/>
    <n v="0.28928159815597387"/>
  </r>
  <r>
    <s v="ORD-100365"/>
    <d v="2025-03-27T00:00:00"/>
    <s v="James Smith"/>
    <x v="1"/>
    <x v="0"/>
    <x v="14"/>
    <n v="95.28"/>
    <n v="19.02"/>
    <n v="6"/>
    <x v="4"/>
    <x v="0"/>
    <n v="0.19962216624685139"/>
  </r>
  <r>
    <s v="ORD-100366"/>
    <d v="2025-11-01T00:00:00"/>
    <s v="Robert Wilson"/>
    <x v="4"/>
    <x v="0"/>
    <x v="1"/>
    <n v="102.05"/>
    <n v="13.06"/>
    <n v="4"/>
    <x v="0"/>
    <x v="0"/>
    <n v="0.1279764821166095"/>
  </r>
  <r>
    <s v="ORD-100367"/>
    <d v="2025-01-07T00:00:00"/>
    <s v="Sandra Thompson"/>
    <x v="2"/>
    <x v="2"/>
    <x v="11"/>
    <n v="396.42"/>
    <n v="41.7"/>
    <n v="1"/>
    <x v="1"/>
    <x v="0"/>
    <n v="0.10519146359921296"/>
  </r>
  <r>
    <s v="ORD-100368"/>
    <d v="2025-02-21T00:00:00"/>
    <s v="Emily Alvarado"/>
    <x v="2"/>
    <x v="4"/>
    <x v="10"/>
    <n v="1115.1500000000001"/>
    <n v="356.26"/>
    <n v="5"/>
    <x v="9"/>
    <x v="0"/>
    <n v="0.31947271667488675"/>
  </r>
  <r>
    <s v="ORD-100369"/>
    <d v="2025-12-02T00:00:00"/>
    <s v="Susan Martin"/>
    <x v="2"/>
    <x v="2"/>
    <x v="22"/>
    <n v="1490.74"/>
    <n v="291.79000000000002"/>
    <n v="3"/>
    <x v="8"/>
    <x v="0"/>
    <n v="0.19573500409192751"/>
  </r>
  <r>
    <s v="ORD-100370"/>
    <d v="2025-07-22T00:00:00"/>
    <s v="Mark Wilson"/>
    <x v="1"/>
    <x v="0"/>
    <x v="18"/>
    <n v="82.29"/>
    <n v="4.3600000000000003"/>
    <n v="3"/>
    <x v="6"/>
    <x v="0"/>
    <n v="5.2983351561550616E-2"/>
  </r>
  <r>
    <s v="ORD-100371"/>
    <d v="2025-06-05T00:00:00"/>
    <s v="Patricia Davis"/>
    <x v="3"/>
    <x v="3"/>
    <x v="5"/>
    <n v="24.78"/>
    <n v="6.1"/>
    <n v="2"/>
    <x v="3"/>
    <x v="0"/>
    <n v="0.24616626311541565"/>
  </r>
  <r>
    <s v="ORD-100372"/>
    <d v="2025-06-14T00:00:00"/>
    <s v="Robert Anderson"/>
    <x v="2"/>
    <x v="4"/>
    <x v="21"/>
    <n v="290.24"/>
    <n v="88.81"/>
    <n v="4"/>
    <x v="3"/>
    <x v="0"/>
    <n v="0.30598814773980154"/>
  </r>
  <r>
    <s v="ORD-100373"/>
    <d v="2025-09-22T00:00:00"/>
    <s v="Ashley Moore"/>
    <x v="4"/>
    <x v="2"/>
    <x v="22"/>
    <n v="307.57"/>
    <n v="51.1"/>
    <n v="1"/>
    <x v="10"/>
    <x v="0"/>
    <n v="0.16614104106382288"/>
  </r>
  <r>
    <s v="ORD-100374"/>
    <d v="2025-09-26T00:00:00"/>
    <s v="Mark Martin"/>
    <x v="4"/>
    <x v="0"/>
    <x v="0"/>
    <n v="11.24"/>
    <n v="1.33"/>
    <n v="1"/>
    <x v="10"/>
    <x v="0"/>
    <n v="0.11832740213523132"/>
  </r>
  <r>
    <s v="ORD-100375"/>
    <d v="2025-12-27T00:00:00"/>
    <s v="James Davis"/>
    <x v="0"/>
    <x v="4"/>
    <x v="12"/>
    <n v="764.04"/>
    <n v="82.24"/>
    <n v="4"/>
    <x v="8"/>
    <x v="0"/>
    <n v="0.10763834354222292"/>
  </r>
  <r>
    <s v="ORD-100376"/>
    <d v="2025-11-01T00:00:00"/>
    <s v="William Johnson"/>
    <x v="3"/>
    <x v="2"/>
    <x v="24"/>
    <n v="741.45"/>
    <n v="153.72"/>
    <n v="3"/>
    <x v="0"/>
    <x v="0"/>
    <n v="0.20732348776046933"/>
  </r>
  <r>
    <s v="ORD-100377"/>
    <d v="2025-05-26T00:00:00"/>
    <s v="Dennis Taylor"/>
    <x v="4"/>
    <x v="0"/>
    <x v="1"/>
    <n v="52.86"/>
    <n v="7.78"/>
    <n v="2"/>
    <x v="7"/>
    <x v="0"/>
    <n v="0.14718123344684073"/>
  </r>
  <r>
    <s v="ORD-100378"/>
    <d v="2025-05-18T00:00:00"/>
    <s v="Thomas Anderson"/>
    <x v="2"/>
    <x v="0"/>
    <x v="14"/>
    <n v="111.16"/>
    <n v="16.350000000000001"/>
    <n v="4"/>
    <x v="7"/>
    <x v="0"/>
    <n v="0.1470852824757107"/>
  </r>
  <r>
    <s v="ORD-100379"/>
    <d v="2025-01-05T00:00:00"/>
    <s v="Linda Davis"/>
    <x v="2"/>
    <x v="4"/>
    <x v="10"/>
    <n v="1455.48"/>
    <n v="379.42"/>
    <n v="6"/>
    <x v="1"/>
    <x v="0"/>
    <n v="0.2606837606837607"/>
  </r>
  <r>
    <s v="ORD-100380"/>
    <d v="2025-07-12T00:00:00"/>
    <s v="Ashley Moore"/>
    <x v="3"/>
    <x v="1"/>
    <x v="16"/>
    <n v="730.41"/>
    <n v="193.46"/>
    <n v="3"/>
    <x v="6"/>
    <x v="0"/>
    <n v="0.26486493886994977"/>
  </r>
  <r>
    <s v="ORD-100381"/>
    <d v="2025-02-22T00:00:00"/>
    <s v="Dennis White"/>
    <x v="0"/>
    <x v="2"/>
    <x v="4"/>
    <n v="1415.5"/>
    <n v="277.93"/>
    <n v="5"/>
    <x v="9"/>
    <x v="0"/>
    <n v="0.19634758036029673"/>
  </r>
  <r>
    <s v="ORD-100382"/>
    <d v="2025-06-22T00:00:00"/>
    <s v="Robert Wilson"/>
    <x v="0"/>
    <x v="1"/>
    <x v="17"/>
    <n v="138.96"/>
    <n v="35.17"/>
    <n v="2"/>
    <x v="3"/>
    <x v="0"/>
    <n v="0.2530944156591825"/>
  </r>
  <r>
    <s v="ORD-100383"/>
    <d v="2025-11-04T00:00:00"/>
    <s v="David Wilson"/>
    <x v="1"/>
    <x v="4"/>
    <x v="13"/>
    <n v="306.52999999999997"/>
    <n v="60.41"/>
    <n v="3"/>
    <x v="0"/>
    <x v="0"/>
    <n v="0.19707695820963692"/>
  </r>
  <r>
    <s v="ORD-100384"/>
    <d v="2025-12-29T00:00:00"/>
    <s v="Joseph Smith"/>
    <x v="0"/>
    <x v="4"/>
    <x v="21"/>
    <n v="1164.18"/>
    <n v="380.26"/>
    <n v="6"/>
    <x v="8"/>
    <x v="0"/>
    <n v="0.32663333848717552"/>
  </r>
  <r>
    <s v="ORD-100385"/>
    <d v="2025-09-17T00:00:00"/>
    <s v="Patricia Johnson"/>
    <x v="2"/>
    <x v="0"/>
    <x v="14"/>
    <n v="32.799999999999997"/>
    <n v="2.91"/>
    <n v="4"/>
    <x v="10"/>
    <x v="0"/>
    <n v="8.8719512195121961E-2"/>
  </r>
  <r>
    <s v="ORD-100386"/>
    <d v="2025-04-04T00:00:00"/>
    <s v="Nancy Wilson"/>
    <x v="4"/>
    <x v="0"/>
    <x v="0"/>
    <n v="160.74"/>
    <n v="18.18"/>
    <n v="6"/>
    <x v="5"/>
    <x v="0"/>
    <n v="0.11310190369540872"/>
  </r>
  <r>
    <s v="ORD-100387"/>
    <d v="2025-07-10T00:00:00"/>
    <s v="Robert Martin"/>
    <x v="0"/>
    <x v="2"/>
    <x v="8"/>
    <n v="344.64"/>
    <n v="64.739999999999995"/>
    <n v="4"/>
    <x v="6"/>
    <x v="0"/>
    <n v="0.18784818941504178"/>
  </r>
  <r>
    <s v="ORD-100388"/>
    <d v="2025-11-14T00:00:00"/>
    <s v="Kaden Jackson"/>
    <x v="1"/>
    <x v="2"/>
    <x v="11"/>
    <n v="1655.3"/>
    <n v="372.81"/>
    <n v="5"/>
    <x v="0"/>
    <x v="0"/>
    <n v="0.22522201413641033"/>
  </r>
  <r>
    <s v="ORD-100389"/>
    <d v="2025-04-13T00:00:00"/>
    <s v="Michael Anderson"/>
    <x v="2"/>
    <x v="3"/>
    <x v="20"/>
    <n v="44.8"/>
    <n v="9.2899999999999991"/>
    <n v="2"/>
    <x v="5"/>
    <x v="0"/>
    <n v="0.20736607142857141"/>
  </r>
  <r>
    <s v="ORD-100390"/>
    <d v="2025-09-07T00:00:00"/>
    <s v="Michael Johnson"/>
    <x v="0"/>
    <x v="4"/>
    <x v="6"/>
    <n v="346.16"/>
    <n v="100.49"/>
    <n v="4"/>
    <x v="10"/>
    <x v="0"/>
    <n v="0.2902992835682921"/>
  </r>
  <r>
    <s v="ORD-100391"/>
    <d v="2025-03-23T00:00:00"/>
    <s v="Susan Allen"/>
    <x v="1"/>
    <x v="4"/>
    <x v="13"/>
    <n v="486.12"/>
    <n v="-53.32"/>
    <n v="4"/>
    <x v="4"/>
    <x v="0"/>
    <n v="-0.10968485147700156"/>
  </r>
  <r>
    <s v="ORD-100392"/>
    <d v="2025-10-01T00:00:00"/>
    <s v="James Moore"/>
    <x v="4"/>
    <x v="3"/>
    <x v="23"/>
    <n v="11.98"/>
    <n v="1.21"/>
    <n v="2"/>
    <x v="11"/>
    <x v="0"/>
    <n v="0.1010016694490818"/>
  </r>
  <r>
    <s v="ORD-100393"/>
    <d v="2025-04-26T00:00:00"/>
    <s v="Charles Moore"/>
    <x v="0"/>
    <x v="0"/>
    <x v="18"/>
    <n v="98.6"/>
    <n v="7.4"/>
    <n v="5"/>
    <x v="5"/>
    <x v="0"/>
    <n v="7.5050709939148086E-2"/>
  </r>
  <r>
    <s v="ORD-100394"/>
    <d v="2025-06-02T00:00:00"/>
    <s v="Patricia Thomas"/>
    <x v="2"/>
    <x v="2"/>
    <x v="24"/>
    <n v="3214.64"/>
    <n v="801.19"/>
    <n v="4"/>
    <x v="3"/>
    <x v="0"/>
    <n v="0.24923164024587516"/>
  </r>
  <r>
    <s v="ORD-100395"/>
    <d v="2025-09-08T00:00:00"/>
    <s v="Jennifer Smith"/>
    <x v="1"/>
    <x v="3"/>
    <x v="20"/>
    <n v="17.559999999999999"/>
    <n v="3.67"/>
    <n v="1"/>
    <x v="10"/>
    <x v="0"/>
    <n v="0.20899772209567199"/>
  </r>
  <r>
    <s v="ORD-100396"/>
    <d v="2025-01-12T00:00:00"/>
    <s v="Joseph White"/>
    <x v="1"/>
    <x v="0"/>
    <x v="14"/>
    <n v="107.64"/>
    <n v="9.51"/>
    <n v="4"/>
    <x v="1"/>
    <x v="0"/>
    <n v="8.8350055741360081E-2"/>
  </r>
  <r>
    <s v="ORD-100397"/>
    <d v="2025-01-25T00:00:00"/>
    <s v="Karen Carpenter"/>
    <x v="4"/>
    <x v="4"/>
    <x v="6"/>
    <n v="180.19"/>
    <n v="36.79"/>
    <n v="1"/>
    <x v="1"/>
    <x v="0"/>
    <n v="0.20417337255119597"/>
  </r>
  <r>
    <s v="ORD-100398"/>
    <d v="2025-10-08T00:00:00"/>
    <s v="Robert Jackson"/>
    <x v="1"/>
    <x v="0"/>
    <x v="14"/>
    <n v="46.56"/>
    <n v="3.03"/>
    <n v="3"/>
    <x v="11"/>
    <x v="0"/>
    <n v="6.5077319587628857E-2"/>
  </r>
  <r>
    <s v="ORD-100399"/>
    <d v="2025-11-15T00:00:00"/>
    <s v="Karen Ruiz"/>
    <x v="3"/>
    <x v="4"/>
    <x v="6"/>
    <n v="1059.94"/>
    <n v="136.21"/>
    <n v="5"/>
    <x v="0"/>
    <x v="0"/>
    <n v="0.12850727399664133"/>
  </r>
  <r>
    <s v="ORD-100400"/>
    <d v="2025-04-12T00:00:00"/>
    <s v="Karen Smith"/>
    <x v="0"/>
    <x v="4"/>
    <x v="21"/>
    <n v="549.80999999999995"/>
    <n v="95.58"/>
    <n v="3"/>
    <x v="5"/>
    <x v="0"/>
    <n v="0.17384187264691439"/>
  </r>
  <r>
    <s v="ORD-100401"/>
    <d v="2025-09-12T00:00:00"/>
    <s v="Emily Smith"/>
    <x v="3"/>
    <x v="1"/>
    <x v="2"/>
    <n v="241.64"/>
    <n v="67.989999999999995"/>
    <n v="1"/>
    <x v="10"/>
    <x v="0"/>
    <n v="0.28136897864591953"/>
  </r>
  <r>
    <s v="ORD-100402"/>
    <d v="2025-12-09T00:00:00"/>
    <s v="Susan Ruiz"/>
    <x v="4"/>
    <x v="4"/>
    <x v="6"/>
    <n v="1545.33"/>
    <n v="403.46"/>
    <n v="6"/>
    <x v="8"/>
    <x v="0"/>
    <n v="0.26108339319109836"/>
  </r>
  <r>
    <s v="ORD-100403"/>
    <d v="2025-06-01T00:00:00"/>
    <s v="Robert Thomas"/>
    <x v="4"/>
    <x v="0"/>
    <x v="0"/>
    <n v="26.31"/>
    <n v="2.74"/>
    <n v="1"/>
    <x v="3"/>
    <x v="0"/>
    <n v="0.10414291144051693"/>
  </r>
  <r>
    <s v="ORD-100404"/>
    <d v="2025-08-07T00:00:00"/>
    <s v="Betty Alvarado"/>
    <x v="4"/>
    <x v="3"/>
    <x v="5"/>
    <n v="51.86"/>
    <n v="10.35"/>
    <n v="1"/>
    <x v="2"/>
    <x v="0"/>
    <n v="0.19957578094870806"/>
  </r>
  <r>
    <s v="ORD-100405"/>
    <d v="2025-07-03T00:00:00"/>
    <s v="Mark Thomas"/>
    <x v="2"/>
    <x v="1"/>
    <x v="2"/>
    <n v="866.82"/>
    <n v="118.38"/>
    <n v="3"/>
    <x v="6"/>
    <x v="0"/>
    <n v="0.13656814563577213"/>
  </r>
  <r>
    <s v="ORD-100406"/>
    <d v="2025-08-22T00:00:00"/>
    <s v="Robert Taylor"/>
    <x v="3"/>
    <x v="4"/>
    <x v="21"/>
    <n v="54.82"/>
    <n v="15.44"/>
    <n v="1"/>
    <x v="2"/>
    <x v="0"/>
    <n v="0.28164903319956219"/>
  </r>
  <r>
    <s v="ORD-100407"/>
    <d v="2025-03-23T00:00:00"/>
    <s v="Matthew Anderson"/>
    <x v="2"/>
    <x v="2"/>
    <x v="4"/>
    <n v="2500.92"/>
    <n v="459.98"/>
    <n v="6"/>
    <x v="4"/>
    <x v="0"/>
    <n v="0.18392431585176655"/>
  </r>
  <r>
    <s v="ORD-100408"/>
    <d v="2025-11-10T00:00:00"/>
    <s v="Dennis Ruiz"/>
    <x v="3"/>
    <x v="3"/>
    <x v="5"/>
    <n v="130.88"/>
    <n v="-12.97"/>
    <n v="4"/>
    <x v="0"/>
    <x v="0"/>
    <n v="-9.9098410757946218E-2"/>
  </r>
  <r>
    <s v="ORD-100409"/>
    <d v="2025-12-14T00:00:00"/>
    <s v="Richard Martin"/>
    <x v="2"/>
    <x v="0"/>
    <x v="3"/>
    <n v="118.44"/>
    <n v="7.61"/>
    <n v="5"/>
    <x v="8"/>
    <x v="0"/>
    <n v="6.4251941911516383E-2"/>
  </r>
  <r>
    <s v="ORD-100410"/>
    <d v="2025-05-08T00:00:00"/>
    <s v="Susan Moore"/>
    <x v="3"/>
    <x v="0"/>
    <x v="1"/>
    <n v="31.8"/>
    <n v="4.66"/>
    <n v="5"/>
    <x v="7"/>
    <x v="0"/>
    <n v="0.14654088050314465"/>
  </r>
  <r>
    <s v="ORD-100411"/>
    <d v="2025-08-29T00:00:00"/>
    <s v="Ashley Jackson"/>
    <x v="1"/>
    <x v="0"/>
    <x v="18"/>
    <n v="33.06"/>
    <n v="6.46"/>
    <n v="3"/>
    <x v="2"/>
    <x v="0"/>
    <n v="0.1954022988505747"/>
  </r>
  <r>
    <s v="ORD-100412"/>
    <d v="2025-04-25T00:00:00"/>
    <s v="Jessica Taylor"/>
    <x v="3"/>
    <x v="4"/>
    <x v="6"/>
    <n v="499.76"/>
    <n v="121.57"/>
    <n v="4"/>
    <x v="5"/>
    <x v="0"/>
    <n v="0.24325676324635825"/>
  </r>
  <r>
    <s v="ORD-100413"/>
    <d v="2025-09-13T00:00:00"/>
    <s v="William Wilson"/>
    <x v="4"/>
    <x v="3"/>
    <x v="5"/>
    <n v="27.19"/>
    <n v="2.87"/>
    <n v="1"/>
    <x v="10"/>
    <x v="0"/>
    <n v="0.10555351232070614"/>
  </r>
  <r>
    <s v="ORD-100414"/>
    <d v="2025-02-16T00:00:00"/>
    <s v="Sandra Thompson"/>
    <x v="2"/>
    <x v="4"/>
    <x v="12"/>
    <n v="357.7"/>
    <n v="95.82"/>
    <n v="5"/>
    <x v="9"/>
    <x v="0"/>
    <n v="0.26787811014816887"/>
  </r>
  <r>
    <s v="ORD-100415"/>
    <d v="2025-07-06T00:00:00"/>
    <s v="Paul Carpenter"/>
    <x v="1"/>
    <x v="4"/>
    <x v="10"/>
    <n v="988.35"/>
    <n v="247.08"/>
    <n v="5"/>
    <x v="6"/>
    <x v="0"/>
    <n v="0.24999241159508273"/>
  </r>
  <r>
    <s v="ORD-100416"/>
    <d v="2025-07-06T00:00:00"/>
    <s v="Charles Thomas"/>
    <x v="4"/>
    <x v="0"/>
    <x v="0"/>
    <n v="13.53"/>
    <n v="2.36"/>
    <n v="1"/>
    <x v="6"/>
    <x v="0"/>
    <n v="0.17442719881744273"/>
  </r>
  <r>
    <s v="ORD-100417"/>
    <d v="2025-05-30T00:00:00"/>
    <s v="Jessica White"/>
    <x v="0"/>
    <x v="4"/>
    <x v="6"/>
    <n v="271.58"/>
    <n v="82.96"/>
    <n v="2"/>
    <x v="7"/>
    <x v="0"/>
    <n v="0.30547168421827819"/>
  </r>
  <r>
    <s v="ORD-100418"/>
    <d v="2025-07-29T00:00:00"/>
    <s v="Matthew Davis"/>
    <x v="2"/>
    <x v="0"/>
    <x v="14"/>
    <n v="41.56"/>
    <n v="7.22"/>
    <n v="4"/>
    <x v="6"/>
    <x v="0"/>
    <n v="0.17372473532242538"/>
  </r>
  <r>
    <s v="ORD-100419"/>
    <d v="2025-06-23T00:00:00"/>
    <s v="Matthew Anderson"/>
    <x v="4"/>
    <x v="3"/>
    <x v="23"/>
    <n v="47.47"/>
    <n v="7.95"/>
    <n v="1"/>
    <x v="3"/>
    <x v="0"/>
    <n v="0.16747419422793344"/>
  </r>
  <r>
    <s v="ORD-100420"/>
    <d v="2025-09-16T00:00:00"/>
    <s v="Rita Jackson"/>
    <x v="4"/>
    <x v="2"/>
    <x v="8"/>
    <n v="4221.8500000000004"/>
    <n v="939.78"/>
    <n v="5"/>
    <x v="10"/>
    <x v="0"/>
    <n v="0.22259909755202101"/>
  </r>
  <r>
    <s v="ORD-100421"/>
    <d v="2025-09-18T00:00:00"/>
    <s v="Daniel Johnson"/>
    <x v="2"/>
    <x v="0"/>
    <x v="0"/>
    <n v="14.69"/>
    <n v="2.06"/>
    <n v="1"/>
    <x v="10"/>
    <x v="0"/>
    <n v="0.14023144996596326"/>
  </r>
  <r>
    <s v="ORD-100422"/>
    <d v="2025-09-16T00:00:00"/>
    <s v="Mark Taylor"/>
    <x v="3"/>
    <x v="3"/>
    <x v="15"/>
    <n v="80.64"/>
    <n v="12.21"/>
    <n v="3"/>
    <x v="10"/>
    <x v="0"/>
    <n v="0.15141369047619049"/>
  </r>
  <r>
    <s v="ORD-100423"/>
    <d v="2025-03-10T00:00:00"/>
    <s v="Rita Anderson"/>
    <x v="2"/>
    <x v="4"/>
    <x v="12"/>
    <n v="644.07000000000005"/>
    <n v="152.61000000000001"/>
    <n v="3"/>
    <x v="4"/>
    <x v="0"/>
    <n v="0.23694629465741301"/>
  </r>
  <r>
    <s v="ORD-100424"/>
    <d v="2025-10-11T00:00:00"/>
    <s v="Thomas Smith"/>
    <x v="1"/>
    <x v="0"/>
    <x v="3"/>
    <n v="81.78"/>
    <n v="12.34"/>
    <n v="6"/>
    <x v="11"/>
    <x v="0"/>
    <n v="0.15089263878698947"/>
  </r>
  <r>
    <s v="ORD-100425"/>
    <d v="2025-11-29T00:00:00"/>
    <s v="Sarah White"/>
    <x v="2"/>
    <x v="4"/>
    <x v="10"/>
    <n v="368.72"/>
    <n v="81.150000000000006"/>
    <n v="6"/>
    <x v="0"/>
    <x v="0"/>
    <n v="0.2200857018876112"/>
  </r>
  <r>
    <s v="ORD-100426"/>
    <d v="2025-12-08T00:00:00"/>
    <s v="Charles Anderson"/>
    <x v="2"/>
    <x v="1"/>
    <x v="16"/>
    <n v="213.21"/>
    <n v="27.52"/>
    <n v="1"/>
    <x v="8"/>
    <x v="0"/>
    <n v="0.12907462126541908"/>
  </r>
  <r>
    <s v="ORD-100427"/>
    <d v="2025-04-13T00:00:00"/>
    <s v="Robert Johnson"/>
    <x v="0"/>
    <x v="4"/>
    <x v="21"/>
    <n v="180.38"/>
    <n v="31.35"/>
    <n v="1"/>
    <x v="5"/>
    <x v="0"/>
    <n v="0.17379975607051781"/>
  </r>
  <r>
    <s v="ORD-100428"/>
    <d v="2025-01-17T00:00:00"/>
    <s v="Jennifer Thomas"/>
    <x v="4"/>
    <x v="4"/>
    <x v="12"/>
    <n v="384.08"/>
    <n v="92.3"/>
    <n v="2"/>
    <x v="1"/>
    <x v="0"/>
    <n v="0.24031451780878985"/>
  </r>
  <r>
    <s v="ORD-100429"/>
    <d v="2025-12-23T00:00:00"/>
    <s v="Patricia Carpenter"/>
    <x v="3"/>
    <x v="1"/>
    <x v="17"/>
    <n v="249.74"/>
    <n v="35.119999999999997"/>
    <n v="5"/>
    <x v="8"/>
    <x v="0"/>
    <n v="0.14062625130135339"/>
  </r>
  <r>
    <s v="ORD-100430"/>
    <d v="2025-08-15T00:00:00"/>
    <s v="Paul Brown"/>
    <x v="0"/>
    <x v="4"/>
    <x v="12"/>
    <n v="964.56"/>
    <n v="283.62"/>
    <n v="6"/>
    <x v="2"/>
    <x v="0"/>
    <n v="0.29404080617068923"/>
  </r>
  <r>
    <s v="ORD-100431"/>
    <d v="2025-05-31T00:00:00"/>
    <s v="William Johnson"/>
    <x v="4"/>
    <x v="0"/>
    <x v="0"/>
    <n v="107.1"/>
    <n v="11.41"/>
    <n v="6"/>
    <x v="7"/>
    <x v="0"/>
    <n v="0.10653594771241831"/>
  </r>
  <r>
    <s v="ORD-100432"/>
    <d v="2025-10-12T00:00:00"/>
    <s v="Robert Ruiz"/>
    <x v="1"/>
    <x v="2"/>
    <x v="24"/>
    <n v="324.27999999999997"/>
    <n v="65.069999999999993"/>
    <n v="1"/>
    <x v="11"/>
    <x v="0"/>
    <n v="0.20065992352288145"/>
  </r>
  <r>
    <s v="ORD-100433"/>
    <d v="2025-03-20T00:00:00"/>
    <s v="Emily Wilson"/>
    <x v="2"/>
    <x v="0"/>
    <x v="1"/>
    <n v="75.180000000000007"/>
    <n v="12.67"/>
    <n v="6"/>
    <x v="4"/>
    <x v="0"/>
    <n v="0.16852886405959031"/>
  </r>
  <r>
    <s v="ORD-100434"/>
    <d v="2025-02-07T00:00:00"/>
    <s v="Sandra Wilson"/>
    <x v="2"/>
    <x v="0"/>
    <x v="0"/>
    <n v="33.5"/>
    <n v="4.21"/>
    <n v="5"/>
    <x v="9"/>
    <x v="0"/>
    <n v="0.12567164179104479"/>
  </r>
  <r>
    <s v="ORD-100435"/>
    <d v="2025-10-02T00:00:00"/>
    <s v="David Allen"/>
    <x v="0"/>
    <x v="0"/>
    <x v="0"/>
    <n v="79.8"/>
    <n v="8.31"/>
    <n v="6"/>
    <x v="11"/>
    <x v="0"/>
    <n v="0.10413533834586468"/>
  </r>
  <r>
    <s v="ORD-100436"/>
    <d v="2025-11-13T00:00:00"/>
    <s v="Richard Jackson"/>
    <x v="2"/>
    <x v="4"/>
    <x v="6"/>
    <n v="216.53"/>
    <n v="70.62"/>
    <n v="1"/>
    <x v="0"/>
    <x v="0"/>
    <n v="0.32614418325405259"/>
  </r>
  <r>
    <s v="ORD-100437"/>
    <d v="2025-11-15T00:00:00"/>
    <s v="Linda Carpenter"/>
    <x v="0"/>
    <x v="1"/>
    <x v="2"/>
    <n v="551.48"/>
    <n v="57.87"/>
    <n v="4"/>
    <x v="0"/>
    <x v="0"/>
    <n v="0.10493580909552476"/>
  </r>
  <r>
    <s v="ORD-100438"/>
    <d v="2025-07-11T00:00:00"/>
    <s v="Richard White"/>
    <x v="3"/>
    <x v="2"/>
    <x v="24"/>
    <n v="1233.3599999999999"/>
    <n v="206.42"/>
    <n v="6"/>
    <x v="6"/>
    <x v="0"/>
    <n v="0.16736394888759162"/>
  </r>
  <r>
    <s v="ORD-100439"/>
    <d v="2025-03-27T00:00:00"/>
    <s v="Daniel Harris"/>
    <x v="2"/>
    <x v="0"/>
    <x v="14"/>
    <n v="43.52"/>
    <n v="7.23"/>
    <n v="2"/>
    <x v="4"/>
    <x v="0"/>
    <n v="0.16613051470588236"/>
  </r>
  <r>
    <s v="ORD-100440"/>
    <d v="2025-08-06T00:00:00"/>
    <s v="Paul Alvarado"/>
    <x v="1"/>
    <x v="2"/>
    <x v="11"/>
    <n v="4454.46"/>
    <n v="410.97"/>
    <n v="6"/>
    <x v="2"/>
    <x v="0"/>
    <n v="9.2260341320833508E-2"/>
  </r>
  <r>
    <s v="ORD-100441"/>
    <d v="2025-01-13T00:00:00"/>
    <s v="William Wilson"/>
    <x v="4"/>
    <x v="0"/>
    <x v="14"/>
    <n v="49.72"/>
    <n v="6.65"/>
    <n v="2"/>
    <x v="1"/>
    <x v="0"/>
    <n v="0.13374899436846341"/>
  </r>
  <r>
    <s v="ORD-100442"/>
    <d v="2025-04-27T00:00:00"/>
    <s v="Emily Davis"/>
    <x v="3"/>
    <x v="1"/>
    <x v="16"/>
    <n v="497.64"/>
    <n v="88.53"/>
    <n v="4"/>
    <x v="5"/>
    <x v="0"/>
    <n v="0.17789968652037619"/>
  </r>
  <r>
    <s v="ORD-100443"/>
    <d v="2025-01-04T00:00:00"/>
    <s v="Thomas Thompson"/>
    <x v="4"/>
    <x v="4"/>
    <x v="12"/>
    <n v="182.7"/>
    <n v="21.59"/>
    <n v="1"/>
    <x v="1"/>
    <x v="0"/>
    <n v="0.11817186644772852"/>
  </r>
  <r>
    <s v="ORD-100444"/>
    <d v="2025-02-24T00:00:00"/>
    <s v="Patricia Miller"/>
    <x v="2"/>
    <x v="0"/>
    <x v="18"/>
    <n v="59.52"/>
    <n v="8.8699999999999992"/>
    <n v="4"/>
    <x v="9"/>
    <x v="0"/>
    <n v="0.14902553763440859"/>
  </r>
  <r>
    <s v="ORD-100445"/>
    <d v="2025-10-01T00:00:00"/>
    <s v="Linda Ruiz"/>
    <x v="3"/>
    <x v="4"/>
    <x v="12"/>
    <n v="723.09"/>
    <n v="98.35"/>
    <n v="3"/>
    <x v="11"/>
    <x v="0"/>
    <n v="0.13601349762823436"/>
  </r>
  <r>
    <s v="ORD-100446"/>
    <d v="2025-11-28T00:00:00"/>
    <s v="Jennifer Zimmerman"/>
    <x v="2"/>
    <x v="3"/>
    <x v="15"/>
    <n v="9.2799999999999994"/>
    <n v="1.48"/>
    <n v="1"/>
    <x v="0"/>
    <x v="0"/>
    <n v="0.15948275862068967"/>
  </r>
  <r>
    <s v="ORD-100447"/>
    <d v="2025-02-13T00:00:00"/>
    <s v="Patricia Smith"/>
    <x v="0"/>
    <x v="0"/>
    <x v="1"/>
    <n v="18.04"/>
    <n v="1.5"/>
    <n v="2"/>
    <x v="9"/>
    <x v="0"/>
    <n v="8.3148558758314867E-2"/>
  </r>
  <r>
    <s v="ORD-100448"/>
    <d v="2025-04-10T00:00:00"/>
    <s v="Matthew Johnson"/>
    <x v="2"/>
    <x v="3"/>
    <x v="23"/>
    <n v="161.84"/>
    <n v="17.96"/>
    <n v="4"/>
    <x v="5"/>
    <x v="0"/>
    <n v="0.11097380128521997"/>
  </r>
  <r>
    <s v="ORD-100449"/>
    <d v="2025-05-09T00:00:00"/>
    <s v="Matthew Smith"/>
    <x v="2"/>
    <x v="2"/>
    <x v="24"/>
    <n v="450.81"/>
    <n v="86.3"/>
    <n v="3"/>
    <x v="7"/>
    <x v="0"/>
    <n v="0.19143319802133935"/>
  </r>
  <r>
    <s v="ORD-100450"/>
    <d v="2025-11-14T00:00:00"/>
    <s v="Kaden Smith"/>
    <x v="0"/>
    <x v="2"/>
    <x v="24"/>
    <n v="3970.55"/>
    <n v="420.51"/>
    <n v="5"/>
    <x v="0"/>
    <x v="0"/>
    <n v="0.10590724206973844"/>
  </r>
  <r>
    <s v="ORD-100451"/>
    <d v="2025-06-11T00:00:00"/>
    <s v="Elizabeth Johnson"/>
    <x v="4"/>
    <x v="1"/>
    <x v="19"/>
    <n v="1584.84"/>
    <n v="296.72000000000003"/>
    <n v="6"/>
    <x v="3"/>
    <x v="0"/>
    <n v="0.18722394689684765"/>
  </r>
  <r>
    <s v="ORD-100452"/>
    <d v="2025-03-10T00:00:00"/>
    <s v="Nancy Wilson"/>
    <x v="3"/>
    <x v="2"/>
    <x v="24"/>
    <n v="1376.4"/>
    <n v="135.58000000000001"/>
    <n v="3"/>
    <x v="4"/>
    <x v="0"/>
    <n v="9.8503342051729156E-2"/>
  </r>
  <r>
    <s v="ORD-100453"/>
    <d v="2025-02-11T00:00:00"/>
    <s v="Paul Davis"/>
    <x v="1"/>
    <x v="3"/>
    <x v="15"/>
    <n v="136.02000000000001"/>
    <n v="26.39"/>
    <n v="3"/>
    <x v="9"/>
    <x v="0"/>
    <n v="0.19401558594324364"/>
  </r>
  <r>
    <s v="ORD-100454"/>
    <d v="2025-01-10T00:00:00"/>
    <s v="Ashley White"/>
    <x v="4"/>
    <x v="4"/>
    <x v="12"/>
    <n v="792.28"/>
    <n v="121.37"/>
    <n v="4"/>
    <x v="1"/>
    <x v="0"/>
    <n v="0.15319079113444742"/>
  </r>
  <r>
    <s v="ORD-100455"/>
    <d v="2025-05-14T00:00:00"/>
    <s v="Jessica Harris"/>
    <x v="3"/>
    <x v="4"/>
    <x v="21"/>
    <n v="339.93"/>
    <n v="109.75"/>
    <n v="3"/>
    <x v="7"/>
    <x v="0"/>
    <n v="0.32286058894478276"/>
  </r>
  <r>
    <s v="ORD-100456"/>
    <d v="2025-05-29T00:00:00"/>
    <s v="Rita Thomas"/>
    <x v="2"/>
    <x v="2"/>
    <x v="11"/>
    <n v="1415.58"/>
    <n v="272.72000000000003"/>
    <n v="3"/>
    <x v="7"/>
    <x v="0"/>
    <n v="0.19265601378940084"/>
  </r>
  <r>
    <s v="ORD-100457"/>
    <d v="2025-11-11T00:00:00"/>
    <s v="Nancy Johnson"/>
    <x v="2"/>
    <x v="0"/>
    <x v="0"/>
    <n v="48.66"/>
    <n v="8.8000000000000007"/>
    <n v="2"/>
    <x v="0"/>
    <x v="0"/>
    <n v="0.18084669132757913"/>
  </r>
  <r>
    <s v="ORD-100458"/>
    <d v="2025-09-05T00:00:00"/>
    <s v="Jennifer Carpenter"/>
    <x v="1"/>
    <x v="4"/>
    <x v="21"/>
    <n v="84.48"/>
    <n v="13.39"/>
    <n v="1"/>
    <x v="10"/>
    <x v="0"/>
    <n v="0.15849905303030304"/>
  </r>
  <r>
    <s v="ORD-100459"/>
    <d v="2025-09-23T00:00:00"/>
    <s v="Emily Moore"/>
    <x v="3"/>
    <x v="2"/>
    <x v="11"/>
    <n v="74.319999999999993"/>
    <n v="14.14"/>
    <n v="1"/>
    <x v="10"/>
    <x v="0"/>
    <n v="0.19025834230355224"/>
  </r>
  <r>
    <s v="ORD-100460"/>
    <d v="2025-09-24T00:00:00"/>
    <s v="Thomas Davis"/>
    <x v="0"/>
    <x v="2"/>
    <x v="4"/>
    <n v="727.86"/>
    <n v="105.07"/>
    <n v="2"/>
    <x v="10"/>
    <x v="0"/>
    <n v="0.14435468359299863"/>
  </r>
  <r>
    <s v="ORD-100461"/>
    <d v="2025-02-09T00:00:00"/>
    <s v="Richard Davis"/>
    <x v="3"/>
    <x v="3"/>
    <x v="15"/>
    <n v="136.6"/>
    <n v="30.41"/>
    <n v="5"/>
    <x v="9"/>
    <x v="0"/>
    <n v="0.2226207906295754"/>
  </r>
  <r>
    <s v="ORD-100462"/>
    <d v="2025-09-04T00:00:00"/>
    <s v="Mark Thompson"/>
    <x v="4"/>
    <x v="2"/>
    <x v="22"/>
    <n v="729.68"/>
    <n v="67.94"/>
    <n v="4"/>
    <x v="10"/>
    <x v="0"/>
    <n v="9.3109308189891465E-2"/>
  </r>
  <r>
    <s v="ORD-100463"/>
    <d v="2025-04-19T00:00:00"/>
    <s v="Rita Johnson"/>
    <x v="1"/>
    <x v="1"/>
    <x v="2"/>
    <n v="576.05999999999995"/>
    <n v="151.06"/>
    <n v="6"/>
    <x v="5"/>
    <x v="0"/>
    <n v="0.26222962885810508"/>
  </r>
  <r>
    <s v="ORD-100464"/>
    <d v="2025-09-04T00:00:00"/>
    <s v="Nancy Jackson"/>
    <x v="3"/>
    <x v="0"/>
    <x v="0"/>
    <n v="154.97999999999999"/>
    <n v="8.27"/>
    <n v="6"/>
    <x v="10"/>
    <x v="0"/>
    <n v="5.3361724093431415E-2"/>
  </r>
  <r>
    <s v="ORD-100465"/>
    <d v="2025-10-21T00:00:00"/>
    <s v="Joseph Johnson"/>
    <x v="1"/>
    <x v="4"/>
    <x v="6"/>
    <n v="290.2"/>
    <n v="41.09"/>
    <n v="5"/>
    <x v="11"/>
    <x v="0"/>
    <n v="0.14159200551343903"/>
  </r>
  <r>
    <s v="ORD-100466"/>
    <d v="2025-09-22T00:00:00"/>
    <s v="David Thompson"/>
    <x v="2"/>
    <x v="4"/>
    <x v="10"/>
    <n v="73.73"/>
    <n v="18.55"/>
    <n v="1"/>
    <x v="10"/>
    <x v="0"/>
    <n v="0.25159365251593652"/>
  </r>
  <r>
    <s v="ORD-100467"/>
    <d v="2025-09-04T00:00:00"/>
    <s v="Sarah Brown"/>
    <x v="3"/>
    <x v="4"/>
    <x v="12"/>
    <n v="330.44"/>
    <n v="75.239999999999995"/>
    <n v="2"/>
    <x v="10"/>
    <x v="0"/>
    <n v="0.2276964047936085"/>
  </r>
  <r>
    <s v="ORD-100468"/>
    <d v="2025-12-18T00:00:00"/>
    <s v="Michael Thomas"/>
    <x v="2"/>
    <x v="2"/>
    <x v="22"/>
    <n v="1683"/>
    <n v="192.53"/>
    <n v="4"/>
    <x v="8"/>
    <x v="0"/>
    <n v="0.11439691027926321"/>
  </r>
  <r>
    <s v="ORD-100469"/>
    <d v="2025-09-16T00:00:00"/>
    <s v="Nancy Anderson"/>
    <x v="1"/>
    <x v="4"/>
    <x v="21"/>
    <n v="911.44"/>
    <n v="227.82"/>
    <n v="4"/>
    <x v="10"/>
    <x v="0"/>
    <n v="0.24995611340296672"/>
  </r>
  <r>
    <s v="ORD-100470"/>
    <d v="2025-09-30T00:00:00"/>
    <s v="Richard Alvarado"/>
    <x v="4"/>
    <x v="2"/>
    <x v="22"/>
    <n v="2518.9499999999998"/>
    <n v="202.03"/>
    <n v="5"/>
    <x v="10"/>
    <x v="0"/>
    <n v="8.0204053276166656E-2"/>
  </r>
  <r>
    <s v="ORD-100471"/>
    <d v="2025-12-14T00:00:00"/>
    <s v="Thomas Anderson"/>
    <x v="2"/>
    <x v="1"/>
    <x v="2"/>
    <n v="1366.43"/>
    <n v="355.9"/>
    <n v="6"/>
    <x v="8"/>
    <x v="0"/>
    <n v="0.26045973814977713"/>
  </r>
  <r>
    <s v="ORD-100472"/>
    <d v="2025-07-15T00:00:00"/>
    <s v="Jennifer Martin"/>
    <x v="2"/>
    <x v="0"/>
    <x v="0"/>
    <n v="50.79"/>
    <n v="4.3099999999999996"/>
    <n v="3"/>
    <x v="6"/>
    <x v="0"/>
    <n v="8.4859224256743443E-2"/>
  </r>
  <r>
    <s v="ORD-100473"/>
    <d v="2025-05-26T00:00:00"/>
    <s v="Karen Harris"/>
    <x v="3"/>
    <x v="1"/>
    <x v="2"/>
    <n v="1592.4"/>
    <n v="161.51"/>
    <n v="6"/>
    <x v="7"/>
    <x v="0"/>
    <n v="0.10142552122582264"/>
  </r>
  <r>
    <s v="ORD-100474"/>
    <d v="2025-09-24T00:00:00"/>
    <s v="Dennis Taylor"/>
    <x v="1"/>
    <x v="4"/>
    <x v="10"/>
    <n v="426.04"/>
    <n v="59.09"/>
    <n v="4"/>
    <x v="10"/>
    <x v="0"/>
    <n v="0.13869589709886396"/>
  </r>
  <r>
    <s v="ORD-100475"/>
    <d v="2025-05-10T00:00:00"/>
    <s v="Robert Harris"/>
    <x v="3"/>
    <x v="2"/>
    <x v="4"/>
    <n v="2678.85"/>
    <n v="395.31"/>
    <n v="3"/>
    <x v="7"/>
    <x v="0"/>
    <n v="0.14756705302648526"/>
  </r>
  <r>
    <s v="ORD-100476"/>
    <d v="2025-10-10T00:00:00"/>
    <s v="Sandra Harris"/>
    <x v="3"/>
    <x v="0"/>
    <x v="1"/>
    <n v="85.45"/>
    <n v="16.940000000000001"/>
    <n v="5"/>
    <x v="11"/>
    <x v="0"/>
    <n v="0.19824458747805734"/>
  </r>
  <r>
    <s v="ORD-100477"/>
    <d v="2025-12-28T00:00:00"/>
    <s v="David Ruiz"/>
    <x v="4"/>
    <x v="4"/>
    <x v="13"/>
    <n v="1617.69"/>
    <n v="367.35"/>
    <n v="6"/>
    <x v="8"/>
    <x v="0"/>
    <n v="0.22708306288596702"/>
  </r>
  <r>
    <s v="ORD-100478"/>
    <d v="2025-10-09T00:00:00"/>
    <s v="Karen Carpenter"/>
    <x v="1"/>
    <x v="1"/>
    <x v="2"/>
    <n v="291.67"/>
    <n v="56.68"/>
    <n v="1"/>
    <x v="11"/>
    <x v="0"/>
    <n v="0.1943292076661981"/>
  </r>
  <r>
    <s v="ORD-100479"/>
    <d v="2025-02-15T00:00:00"/>
    <s v="Kaden Davis"/>
    <x v="1"/>
    <x v="1"/>
    <x v="9"/>
    <n v="259.08"/>
    <n v="74.13"/>
    <n v="1"/>
    <x v="9"/>
    <x v="0"/>
    <n v="0.2861278369615563"/>
  </r>
  <r>
    <s v="ORD-100480"/>
    <d v="2025-12-02T00:00:00"/>
    <s v="Richard Miller"/>
    <x v="2"/>
    <x v="0"/>
    <x v="0"/>
    <n v="114.91"/>
    <n v="20.41"/>
    <n v="6"/>
    <x v="8"/>
    <x v="0"/>
    <n v="0.17761726568618919"/>
  </r>
  <r>
    <s v="ORD-100481"/>
    <d v="2025-09-23T00:00:00"/>
    <s v="Patricia Smith"/>
    <x v="4"/>
    <x v="4"/>
    <x v="12"/>
    <n v="910.75"/>
    <n v="231.15"/>
    <n v="5"/>
    <x v="10"/>
    <x v="0"/>
    <n v="0.25380181169365906"/>
  </r>
  <r>
    <s v="ORD-100482"/>
    <d v="2025-07-04T00:00:00"/>
    <s v="Linda Zimmerman"/>
    <x v="1"/>
    <x v="0"/>
    <x v="3"/>
    <n v="55.32"/>
    <n v="6.04"/>
    <n v="4"/>
    <x v="6"/>
    <x v="0"/>
    <n v="0.10918293564714389"/>
  </r>
  <r>
    <s v="ORD-100483"/>
    <d v="2025-09-23T00:00:00"/>
    <s v="Dennis Allen"/>
    <x v="4"/>
    <x v="2"/>
    <x v="4"/>
    <n v="1696.8"/>
    <n v="413.61"/>
    <n v="5"/>
    <x v="10"/>
    <x v="0"/>
    <n v="0.24375884016973126"/>
  </r>
  <r>
    <s v="ORD-100484"/>
    <d v="2025-11-07T00:00:00"/>
    <s v="James Thomas"/>
    <x v="3"/>
    <x v="2"/>
    <x v="24"/>
    <n v="883.23"/>
    <n v="81.53"/>
    <n v="2"/>
    <x v="0"/>
    <x v="0"/>
    <n v="9.2308911608527791E-2"/>
  </r>
  <r>
    <s v="ORD-100485"/>
    <d v="2025-03-01T00:00:00"/>
    <s v="Sandra White"/>
    <x v="0"/>
    <x v="3"/>
    <x v="23"/>
    <n v="129.54"/>
    <n v="31.73"/>
    <n v="3"/>
    <x v="4"/>
    <x v="0"/>
    <n v="0.24494364675003863"/>
  </r>
  <r>
    <s v="ORD-100486"/>
    <d v="2025-05-05T00:00:00"/>
    <s v="Daniel Wilson"/>
    <x v="3"/>
    <x v="4"/>
    <x v="12"/>
    <n v="133.44"/>
    <n v="21.94"/>
    <n v="1"/>
    <x v="7"/>
    <x v="0"/>
    <n v="0.16441846522781775"/>
  </r>
  <r>
    <s v="ORD-100487"/>
    <d v="2025-04-23T00:00:00"/>
    <s v="Nancy Brown"/>
    <x v="0"/>
    <x v="1"/>
    <x v="17"/>
    <n v="983.85"/>
    <n v="236.29"/>
    <n v="5"/>
    <x v="5"/>
    <x v="0"/>
    <n v="0.24016872490725211"/>
  </r>
  <r>
    <s v="ORD-100488"/>
    <d v="2025-05-28T00:00:00"/>
    <s v="Kaden Taylor"/>
    <x v="0"/>
    <x v="0"/>
    <x v="0"/>
    <n v="51.4"/>
    <n v="4.26"/>
    <n v="4"/>
    <x v="7"/>
    <x v="0"/>
    <n v="8.2879377431906612E-2"/>
  </r>
  <r>
    <s v="ORD-100489"/>
    <d v="2025-04-04T00:00:00"/>
    <s v="Betty Smith"/>
    <x v="3"/>
    <x v="4"/>
    <x v="21"/>
    <n v="476.76"/>
    <n v="79.31"/>
    <n v="6"/>
    <x v="5"/>
    <x v="0"/>
    <n v="0.1663520429566239"/>
  </r>
  <r>
    <s v="ORD-100490"/>
    <d v="2025-05-08T00:00:00"/>
    <s v="Paul Thompson"/>
    <x v="0"/>
    <x v="0"/>
    <x v="14"/>
    <n v="28"/>
    <n v="4.24"/>
    <n v="1"/>
    <x v="7"/>
    <x v="0"/>
    <n v="0.15142857142857144"/>
  </r>
  <r>
    <s v="ORD-100491"/>
    <d v="2025-11-11T00:00:00"/>
    <s v="Dennis Harris"/>
    <x v="4"/>
    <x v="4"/>
    <x v="10"/>
    <n v="657.12"/>
    <n v="210.44"/>
    <n v="5"/>
    <x v="0"/>
    <x v="0"/>
    <n v="0.32024592159727294"/>
  </r>
  <r>
    <s v="ORD-100492"/>
    <d v="2025-05-21T00:00:00"/>
    <s v="Susan Johnson"/>
    <x v="2"/>
    <x v="1"/>
    <x v="19"/>
    <n v="311.60000000000002"/>
    <n v="63.92"/>
    <n v="5"/>
    <x v="7"/>
    <x v="0"/>
    <n v="0.20513478818998715"/>
  </r>
  <r>
    <s v="ORD-100493"/>
    <d v="2025-10-04T00:00:00"/>
    <s v="Marie White"/>
    <x v="0"/>
    <x v="1"/>
    <x v="19"/>
    <n v="1369"/>
    <n v="328.08"/>
    <n v="4"/>
    <x v="11"/>
    <x v="0"/>
    <n v="0.23964937910883854"/>
  </r>
  <r>
    <s v="ORD-100494"/>
    <d v="2025-12-19T00:00:00"/>
    <s v="Dennis Zimmerman"/>
    <x v="1"/>
    <x v="1"/>
    <x v="2"/>
    <n v="567.86"/>
    <n v="78.040000000000006"/>
    <n v="3"/>
    <x v="8"/>
    <x v="0"/>
    <n v="0.13742823935477055"/>
  </r>
  <r>
    <s v="ORD-100495"/>
    <d v="2025-05-18T00:00:00"/>
    <s v="Susan Thompson"/>
    <x v="0"/>
    <x v="1"/>
    <x v="16"/>
    <n v="357.92"/>
    <n v="85.95"/>
    <n v="4"/>
    <x v="7"/>
    <x v="0"/>
    <n v="0.24013746088511398"/>
  </r>
  <r>
    <s v="ORD-100496"/>
    <d v="2025-07-25T00:00:00"/>
    <s v="Robert Thomas"/>
    <x v="1"/>
    <x v="2"/>
    <x v="4"/>
    <n v="1419.42"/>
    <n v="137.65"/>
    <n v="6"/>
    <x v="6"/>
    <x v="0"/>
    <n v="9.6976229727635227E-2"/>
  </r>
  <r>
    <s v="ORD-100497"/>
    <d v="2025-05-01T00:00:00"/>
    <s v="Jessica Anderson"/>
    <x v="3"/>
    <x v="0"/>
    <x v="0"/>
    <n v="100.56"/>
    <n v="7.69"/>
    <n v="4"/>
    <x v="7"/>
    <x v="0"/>
    <n v="7.6471758154335726E-2"/>
  </r>
  <r>
    <s v="ORD-100498"/>
    <d v="2025-11-19T00:00:00"/>
    <s v="Richard Harris"/>
    <x v="0"/>
    <x v="4"/>
    <x v="10"/>
    <n v="577.29999999999995"/>
    <n v="115.23"/>
    <n v="3"/>
    <x v="0"/>
    <x v="0"/>
    <n v="0.19960159362549804"/>
  </r>
  <r>
    <s v="ORD-100499"/>
    <d v="2025-01-31T00:00:00"/>
    <s v="James Davis"/>
    <x v="3"/>
    <x v="4"/>
    <x v="6"/>
    <n v="770.12"/>
    <n v="127.03"/>
    <n v="4"/>
    <x v="1"/>
    <x v="0"/>
    <n v="0.16494831974237781"/>
  </r>
  <r>
    <s v="ORD-100500"/>
    <d v="2025-10-13T00:00:00"/>
    <s v="Emily Davis"/>
    <x v="0"/>
    <x v="0"/>
    <x v="14"/>
    <n v="80.040000000000006"/>
    <n v="15.57"/>
    <n v="3"/>
    <x v="11"/>
    <x v="0"/>
    <n v="0.19452773613193403"/>
  </r>
  <r>
    <s v="ORD-100501"/>
    <d v="2025-10-22T00:00:00"/>
    <s v="Thomas Harris"/>
    <x v="1"/>
    <x v="3"/>
    <x v="7"/>
    <n v="68.64"/>
    <n v="12.12"/>
    <n v="3"/>
    <x v="11"/>
    <x v="0"/>
    <n v="0.17657342657342656"/>
  </r>
  <r>
    <s v="ORD-100502"/>
    <d v="2025-08-17T00:00:00"/>
    <s v="Mark Allen"/>
    <x v="3"/>
    <x v="4"/>
    <x v="13"/>
    <n v="1441.38"/>
    <n v="457.01"/>
    <n v="6"/>
    <x v="2"/>
    <x v="0"/>
    <n v="0.31706420236162564"/>
  </r>
  <r>
    <s v="ORD-100503"/>
    <d v="2025-06-22T00:00:00"/>
    <s v="Elizabeth Thompson"/>
    <x v="2"/>
    <x v="1"/>
    <x v="2"/>
    <n v="73.459999999999994"/>
    <n v="10.7"/>
    <n v="1"/>
    <x v="3"/>
    <x v="0"/>
    <n v="0.14565750068064254"/>
  </r>
  <r>
    <s v="ORD-100504"/>
    <d v="2025-05-30T00:00:00"/>
    <s v="Charles Davis"/>
    <x v="2"/>
    <x v="4"/>
    <x v="10"/>
    <n v="802.88"/>
    <n v="268.72000000000003"/>
    <n v="4"/>
    <x v="7"/>
    <x v="0"/>
    <n v="0.33469509764846556"/>
  </r>
  <r>
    <s v="ORD-100505"/>
    <d v="2025-09-24T00:00:00"/>
    <s v="William Anderson"/>
    <x v="1"/>
    <x v="0"/>
    <x v="14"/>
    <n v="46.38"/>
    <n v="6.92"/>
    <n v="2"/>
    <x v="10"/>
    <x v="0"/>
    <n v="0.1492022423458387"/>
  </r>
  <r>
    <s v="ORD-100506"/>
    <d v="2025-12-25T00:00:00"/>
    <s v="Betty Allen"/>
    <x v="1"/>
    <x v="0"/>
    <x v="14"/>
    <n v="8.99"/>
    <n v="-0.59"/>
    <n v="1"/>
    <x v="8"/>
    <x v="0"/>
    <n v="-6.5628476084538367E-2"/>
  </r>
  <r>
    <s v="ORD-100507"/>
    <d v="2025-07-23T00:00:00"/>
    <s v="Richard Allen"/>
    <x v="4"/>
    <x v="1"/>
    <x v="19"/>
    <n v="236.09"/>
    <n v="65.42"/>
    <n v="1"/>
    <x v="6"/>
    <x v="0"/>
    <n v="0.27709771697234103"/>
  </r>
  <r>
    <s v="ORD-100508"/>
    <d v="2025-05-07T00:00:00"/>
    <s v="Betty Miller"/>
    <x v="3"/>
    <x v="4"/>
    <x v="21"/>
    <n v="1068.3499999999999"/>
    <n v="114.47"/>
    <n v="5"/>
    <x v="7"/>
    <x v="0"/>
    <n v="0.10714653437543877"/>
  </r>
  <r>
    <s v="ORD-100509"/>
    <d v="2025-06-16T00:00:00"/>
    <s v="Ashley Jackson"/>
    <x v="3"/>
    <x v="3"/>
    <x v="23"/>
    <n v="105.51"/>
    <n v="12.69"/>
    <n v="3"/>
    <x v="3"/>
    <x v="0"/>
    <n v="0.12027295990901335"/>
  </r>
  <r>
    <s v="ORD-100510"/>
    <d v="2025-10-04T00:00:00"/>
    <s v="Sarah Martin"/>
    <x v="2"/>
    <x v="2"/>
    <x v="4"/>
    <n v="1960.72"/>
    <n v="370.03"/>
    <n v="4"/>
    <x v="11"/>
    <x v="0"/>
    <n v="0.1887214900648741"/>
  </r>
  <r>
    <s v="ORD-100511"/>
    <d v="2025-06-27T00:00:00"/>
    <s v="Susan Harris"/>
    <x v="1"/>
    <x v="4"/>
    <x v="13"/>
    <n v="321.89999999999998"/>
    <n v="53.1"/>
    <n v="3"/>
    <x v="3"/>
    <x v="0"/>
    <n v="0.16495806150978568"/>
  </r>
  <r>
    <s v="ORD-100512"/>
    <d v="2025-01-01T00:00:00"/>
    <s v="Richard Ruiz"/>
    <x v="0"/>
    <x v="1"/>
    <x v="9"/>
    <n v="246.96"/>
    <n v="48.99"/>
    <n v="1"/>
    <x v="1"/>
    <x v="0"/>
    <n v="0.19837220602526726"/>
  </r>
  <r>
    <s v="ORD-100513"/>
    <d v="2025-06-03T00:00:00"/>
    <s v="Dennis Anderson"/>
    <x v="0"/>
    <x v="2"/>
    <x v="8"/>
    <n v="1806.65"/>
    <n v="270.99"/>
    <n v="5"/>
    <x v="3"/>
    <x v="0"/>
    <n v="0.1499958486701907"/>
  </r>
  <r>
    <s v="ORD-100514"/>
    <d v="2025-07-22T00:00:00"/>
    <s v="Linda Johnson"/>
    <x v="3"/>
    <x v="4"/>
    <x v="21"/>
    <n v="128.46"/>
    <n v="32.93"/>
    <n v="3"/>
    <x v="6"/>
    <x v="0"/>
    <n v="0.25634438735793241"/>
  </r>
  <r>
    <s v="ORD-100515"/>
    <d v="2025-11-10T00:00:00"/>
    <s v="Sandra Davis"/>
    <x v="0"/>
    <x v="4"/>
    <x v="12"/>
    <n v="479.63"/>
    <n v="69.83"/>
    <n v="3"/>
    <x v="0"/>
    <x v="0"/>
    <n v="0.14559139336571941"/>
  </r>
  <r>
    <s v="ORD-100516"/>
    <d v="2025-11-23T00:00:00"/>
    <s v="William Thompson"/>
    <x v="3"/>
    <x v="1"/>
    <x v="9"/>
    <n v="362.58"/>
    <n v="39.86"/>
    <n v="4"/>
    <x v="0"/>
    <x v="0"/>
    <n v="0.10993435931380661"/>
  </r>
  <r>
    <s v="ORD-100517"/>
    <d v="2025-04-06T00:00:00"/>
    <s v="Matthew Miller"/>
    <x v="0"/>
    <x v="0"/>
    <x v="18"/>
    <n v="31.26"/>
    <n v="-0.99"/>
    <n v="6"/>
    <x v="5"/>
    <x v="0"/>
    <n v="-3.166986564299424E-2"/>
  </r>
  <r>
    <s v="ORD-100518"/>
    <d v="2025-04-22T00:00:00"/>
    <s v="Michael Anderson"/>
    <x v="0"/>
    <x v="4"/>
    <x v="13"/>
    <n v="387.99"/>
    <n v="115.57"/>
    <n v="3"/>
    <x v="5"/>
    <x v="0"/>
    <n v="0.29786850176550939"/>
  </r>
  <r>
    <s v="ORD-100519"/>
    <d v="2025-03-16T00:00:00"/>
    <s v="Marie Davis"/>
    <x v="3"/>
    <x v="0"/>
    <x v="18"/>
    <n v="19.600000000000001"/>
    <n v="3.45"/>
    <n v="2"/>
    <x v="4"/>
    <x v="0"/>
    <n v="0.17602040816326531"/>
  </r>
  <r>
    <s v="ORD-100520"/>
    <d v="2025-01-07T00:00:00"/>
    <s v="Matthew Brown"/>
    <x v="3"/>
    <x v="4"/>
    <x v="13"/>
    <n v="381.92"/>
    <n v="41.39"/>
    <n v="2"/>
    <x v="1"/>
    <x v="0"/>
    <n v="0.10837348135735232"/>
  </r>
  <r>
    <s v="ORD-100521"/>
    <d v="2025-02-18T00:00:00"/>
    <s v="Richard Smith"/>
    <x v="3"/>
    <x v="1"/>
    <x v="17"/>
    <n v="217.02"/>
    <n v="53.31"/>
    <n v="3"/>
    <x v="9"/>
    <x v="0"/>
    <n v="0.2456455626209566"/>
  </r>
  <r>
    <s v="ORD-100522"/>
    <d v="2025-10-09T00:00:00"/>
    <s v="Richard Alvarado"/>
    <x v="0"/>
    <x v="2"/>
    <x v="24"/>
    <n v="699.94"/>
    <n v="62.19"/>
    <n v="2"/>
    <x v="11"/>
    <x v="0"/>
    <n v="8.8850472897676933E-2"/>
  </r>
  <r>
    <s v="ORD-100523"/>
    <d v="2025-02-27T00:00:00"/>
    <s v="Linda Anderson"/>
    <x v="0"/>
    <x v="0"/>
    <x v="3"/>
    <n v="39.950000000000003"/>
    <n v="-3.36"/>
    <n v="5"/>
    <x v="9"/>
    <x v="0"/>
    <n v="-8.4105131414267828E-2"/>
  </r>
  <r>
    <s v="ORD-100524"/>
    <d v="2025-01-22T00:00:00"/>
    <s v="Joseph Jackson"/>
    <x v="2"/>
    <x v="0"/>
    <x v="14"/>
    <n v="17.88"/>
    <n v="1.1399999999999999"/>
    <n v="2"/>
    <x v="1"/>
    <x v="0"/>
    <n v="6.3758389261744958E-2"/>
  </r>
  <r>
    <s v="ORD-100525"/>
    <d v="2025-11-17T00:00:00"/>
    <s v="Marie Carpenter"/>
    <x v="0"/>
    <x v="4"/>
    <x v="12"/>
    <n v="62.36"/>
    <n v="21.54"/>
    <n v="1"/>
    <x v="0"/>
    <x v="0"/>
    <n v="0.34541372674791532"/>
  </r>
  <r>
    <s v="ORD-100526"/>
    <d v="2025-06-27T00:00:00"/>
    <s v="Sandra Thomas"/>
    <x v="1"/>
    <x v="0"/>
    <x v="18"/>
    <n v="69.33"/>
    <n v="6.07"/>
    <n v="3"/>
    <x v="3"/>
    <x v="0"/>
    <n v="8.7552286167604215E-2"/>
  </r>
  <r>
    <s v="ORD-100527"/>
    <d v="2025-12-28T00:00:00"/>
    <s v="William Harris"/>
    <x v="0"/>
    <x v="2"/>
    <x v="11"/>
    <n v="1332.2"/>
    <n v="179.88"/>
    <n v="2"/>
    <x v="8"/>
    <x v="0"/>
    <n v="0.13502477105539709"/>
  </r>
  <r>
    <s v="ORD-100528"/>
    <d v="2025-11-03T00:00:00"/>
    <s v="Emily Harris"/>
    <x v="1"/>
    <x v="0"/>
    <x v="0"/>
    <n v="58.43"/>
    <n v="-3.07"/>
    <n v="4"/>
    <x v="0"/>
    <x v="0"/>
    <n v="-5.2541502652746874E-2"/>
  </r>
  <r>
    <s v="ORD-100529"/>
    <d v="2025-11-23T00:00:00"/>
    <s v="Richard Taylor"/>
    <x v="1"/>
    <x v="3"/>
    <x v="23"/>
    <n v="167.59"/>
    <n v="34.880000000000003"/>
    <n v="3"/>
    <x v="0"/>
    <x v="0"/>
    <n v="0.20812697654991349"/>
  </r>
  <r>
    <s v="ORD-100530"/>
    <d v="2025-10-03T00:00:00"/>
    <s v="Paul Taylor"/>
    <x v="1"/>
    <x v="2"/>
    <x v="11"/>
    <n v="862.75"/>
    <n v="110.55"/>
    <n v="5"/>
    <x v="11"/>
    <x v="0"/>
    <n v="0.12813677195015938"/>
  </r>
  <r>
    <s v="ORD-100531"/>
    <d v="2025-06-14T00:00:00"/>
    <s v="Matthew Alvarado"/>
    <x v="2"/>
    <x v="4"/>
    <x v="6"/>
    <n v="130.38"/>
    <n v="14.06"/>
    <n v="2"/>
    <x v="3"/>
    <x v="0"/>
    <n v="0.10783862555606689"/>
  </r>
  <r>
    <s v="ORD-100532"/>
    <d v="2025-04-09T00:00:00"/>
    <s v="Matthew Carpenter"/>
    <x v="2"/>
    <x v="4"/>
    <x v="13"/>
    <n v="811.38"/>
    <n v="207.71"/>
    <n v="6"/>
    <x v="5"/>
    <x v="0"/>
    <n v="0.25599595750449849"/>
  </r>
  <r>
    <s v="ORD-100533"/>
    <d v="2025-01-26T00:00:00"/>
    <s v="Jennifer Brown"/>
    <x v="2"/>
    <x v="4"/>
    <x v="6"/>
    <n v="345.08"/>
    <n v="114.6"/>
    <n v="2"/>
    <x v="1"/>
    <x v="0"/>
    <n v="0.33209690506549205"/>
  </r>
  <r>
    <s v="ORD-100534"/>
    <d v="2025-08-28T00:00:00"/>
    <s v="Sandra Carpenter"/>
    <x v="0"/>
    <x v="2"/>
    <x v="11"/>
    <n v="2169.15"/>
    <n v="195.03"/>
    <n v="3"/>
    <x v="2"/>
    <x v="0"/>
    <n v="8.9910794550860929E-2"/>
  </r>
  <r>
    <s v="ORD-100535"/>
    <d v="2025-09-28T00:00:00"/>
    <s v="Marie Allen"/>
    <x v="0"/>
    <x v="0"/>
    <x v="0"/>
    <n v="37.15"/>
    <n v="5.9"/>
    <n v="5"/>
    <x v="10"/>
    <x v="0"/>
    <n v="0.15881561238223421"/>
  </r>
  <r>
    <s v="ORD-100536"/>
    <d v="2025-04-08T00:00:00"/>
    <s v="James White"/>
    <x v="1"/>
    <x v="2"/>
    <x v="22"/>
    <n v="3421.55"/>
    <n v="515.22"/>
    <n v="5"/>
    <x v="5"/>
    <x v="0"/>
    <n v="0.15058087708786952"/>
  </r>
  <r>
    <s v="ORD-100537"/>
    <d v="2025-11-23T00:00:00"/>
    <s v="Joseph Moore"/>
    <x v="3"/>
    <x v="4"/>
    <x v="13"/>
    <n v="72.17"/>
    <n v="14.46"/>
    <n v="1"/>
    <x v="0"/>
    <x v="0"/>
    <n v="0.20036026049605099"/>
  </r>
  <r>
    <s v="ORD-100538"/>
    <d v="2025-03-22T00:00:00"/>
    <s v="Jessica Thompson"/>
    <x v="3"/>
    <x v="3"/>
    <x v="7"/>
    <n v="297.64999999999998"/>
    <n v="44.26"/>
    <n v="5"/>
    <x v="4"/>
    <x v="0"/>
    <n v="0.14869813539391905"/>
  </r>
  <r>
    <s v="ORD-100539"/>
    <d v="2025-11-21T00:00:00"/>
    <s v="Elizabeth Wilson"/>
    <x v="2"/>
    <x v="0"/>
    <x v="1"/>
    <n v="36.380000000000003"/>
    <n v="5.88"/>
    <n v="2"/>
    <x v="0"/>
    <x v="0"/>
    <n v="0.16162726772952171"/>
  </r>
  <r>
    <s v="ORD-100540"/>
    <d v="2025-08-20T00:00:00"/>
    <s v="William Taylor"/>
    <x v="4"/>
    <x v="4"/>
    <x v="10"/>
    <n v="143.35"/>
    <n v="19.18"/>
    <n v="5"/>
    <x v="2"/>
    <x v="0"/>
    <n v="0.13379839553540288"/>
  </r>
  <r>
    <s v="ORD-100541"/>
    <d v="2025-01-04T00:00:00"/>
    <s v="Patricia Brown"/>
    <x v="1"/>
    <x v="3"/>
    <x v="5"/>
    <n v="301.38"/>
    <n v="71.69"/>
    <n v="6"/>
    <x v="1"/>
    <x v="0"/>
    <n v="0.23787245338111354"/>
  </r>
  <r>
    <s v="ORD-100542"/>
    <d v="2025-10-20T00:00:00"/>
    <s v="Emily Martin"/>
    <x v="1"/>
    <x v="0"/>
    <x v="18"/>
    <n v="26.7"/>
    <n v="2.4"/>
    <n v="3"/>
    <x v="11"/>
    <x v="0"/>
    <n v="8.98876404494382E-2"/>
  </r>
  <r>
    <s v="ORD-100543"/>
    <d v="2025-05-08T00:00:00"/>
    <s v="Linda Davis"/>
    <x v="0"/>
    <x v="0"/>
    <x v="18"/>
    <n v="139.75"/>
    <n v="22.38"/>
    <n v="5"/>
    <x v="7"/>
    <x v="0"/>
    <n v="0.16014311270125223"/>
  </r>
  <r>
    <s v="ORD-100544"/>
    <d v="2025-09-05T00:00:00"/>
    <s v="Sarah Jackson"/>
    <x v="2"/>
    <x v="4"/>
    <x v="6"/>
    <n v="847.55"/>
    <n v="92.67"/>
    <n v="5"/>
    <x v="10"/>
    <x v="0"/>
    <n v="0.1093386820836529"/>
  </r>
  <r>
    <s v="ORD-100545"/>
    <d v="2025-07-15T00:00:00"/>
    <s v="Kaden Carpenter"/>
    <x v="0"/>
    <x v="1"/>
    <x v="16"/>
    <n v="1307.92"/>
    <n v="162.32"/>
    <n v="4"/>
    <x v="6"/>
    <x v="0"/>
    <n v="0.12410544987461006"/>
  </r>
  <r>
    <s v="ORD-100546"/>
    <d v="2025-12-01T00:00:00"/>
    <s v="Ashley Thompson"/>
    <x v="4"/>
    <x v="4"/>
    <x v="13"/>
    <n v="104.09"/>
    <n v="24.46"/>
    <n v="1"/>
    <x v="8"/>
    <x v="0"/>
    <n v="0.23498895186857527"/>
  </r>
  <r>
    <s v="ORD-100547"/>
    <d v="2025-09-15T00:00:00"/>
    <s v="Charles Brown"/>
    <x v="1"/>
    <x v="0"/>
    <x v="18"/>
    <n v="95.28"/>
    <n v="12.99"/>
    <n v="4"/>
    <x v="10"/>
    <x v="0"/>
    <n v="0.13633501259445843"/>
  </r>
  <r>
    <s v="ORD-100548"/>
    <d v="2025-08-10T00:00:00"/>
    <s v="Patricia Taylor"/>
    <x v="1"/>
    <x v="0"/>
    <x v="14"/>
    <n v="77.16"/>
    <n v="4.43"/>
    <n v="4"/>
    <x v="2"/>
    <x v="0"/>
    <n v="5.7413167444271641E-2"/>
  </r>
  <r>
    <s v="ORD-100549"/>
    <d v="2025-02-13T00:00:00"/>
    <s v="David White"/>
    <x v="3"/>
    <x v="4"/>
    <x v="21"/>
    <n v="266.42"/>
    <n v="39.840000000000003"/>
    <n v="2"/>
    <x v="9"/>
    <x v="0"/>
    <n v="0.14953832294872757"/>
  </r>
  <r>
    <s v="ORD-100550"/>
    <d v="2025-10-20T00:00:00"/>
    <s v="James Harris"/>
    <x v="2"/>
    <x v="3"/>
    <x v="23"/>
    <n v="36.659999999999997"/>
    <n v="5.13"/>
    <n v="2"/>
    <x v="11"/>
    <x v="0"/>
    <n v="0.13993453355155483"/>
  </r>
  <r>
    <s v="ORD-100551"/>
    <d v="2025-12-17T00:00:00"/>
    <s v="Emily Martin"/>
    <x v="4"/>
    <x v="0"/>
    <x v="18"/>
    <n v="65.400000000000006"/>
    <n v="6.65"/>
    <n v="4"/>
    <x v="8"/>
    <x v="0"/>
    <n v="0.10168195718654434"/>
  </r>
  <r>
    <s v="ORD-100552"/>
    <d v="2025-06-06T00:00:00"/>
    <s v="Sarah Moore"/>
    <x v="2"/>
    <x v="4"/>
    <x v="13"/>
    <n v="289.05"/>
    <n v="32.15"/>
    <n v="5"/>
    <x v="3"/>
    <x v="0"/>
    <n v="0.1112264314132503"/>
  </r>
  <r>
    <s v="ORD-100553"/>
    <d v="2025-04-13T00:00:00"/>
    <s v="Nancy Moore"/>
    <x v="1"/>
    <x v="4"/>
    <x v="6"/>
    <n v="191.41"/>
    <n v="30.77"/>
    <n v="1"/>
    <x v="5"/>
    <x v="0"/>
    <n v="0.16075440154641868"/>
  </r>
  <r>
    <s v="ORD-100554"/>
    <d v="2025-03-17T00:00:00"/>
    <s v="Ashley Miller"/>
    <x v="4"/>
    <x v="1"/>
    <x v="2"/>
    <n v="505.56"/>
    <n v="52.86"/>
    <n v="3"/>
    <x v="4"/>
    <x v="0"/>
    <n v="0.10455732257298837"/>
  </r>
  <r>
    <s v="ORD-100555"/>
    <d v="2025-10-03T00:00:00"/>
    <s v="James Smith"/>
    <x v="2"/>
    <x v="2"/>
    <x v="24"/>
    <n v="2277"/>
    <n v="464.71"/>
    <n v="5"/>
    <x v="11"/>
    <x v="0"/>
    <n v="0.20408871321914798"/>
  </r>
  <r>
    <s v="ORD-100556"/>
    <d v="2025-12-24T00:00:00"/>
    <s v="Nancy Zimmerman"/>
    <x v="3"/>
    <x v="2"/>
    <x v="4"/>
    <n v="290.33999999999997"/>
    <n v="33.130000000000003"/>
    <n v="1"/>
    <x v="8"/>
    <x v="0"/>
    <n v="0.11410759798856515"/>
  </r>
  <r>
    <s v="ORD-100557"/>
    <d v="2025-05-19T00:00:00"/>
    <s v="Marie Thomas"/>
    <x v="4"/>
    <x v="0"/>
    <x v="3"/>
    <n v="157.80000000000001"/>
    <n v="23.51"/>
    <n v="6"/>
    <x v="7"/>
    <x v="0"/>
    <n v="0.14898605830164766"/>
  </r>
  <r>
    <s v="ORD-100558"/>
    <d v="2025-01-10T00:00:00"/>
    <s v="Patricia Taylor"/>
    <x v="1"/>
    <x v="3"/>
    <x v="23"/>
    <n v="62.88"/>
    <n v="9.26"/>
    <n v="6"/>
    <x v="1"/>
    <x v="0"/>
    <n v="0.14726463104325699"/>
  </r>
  <r>
    <s v="ORD-100559"/>
    <d v="2025-09-30T00:00:00"/>
    <s v="Kaden Johnson"/>
    <x v="1"/>
    <x v="2"/>
    <x v="11"/>
    <n v="4183.3"/>
    <n v="349.95"/>
    <n v="5"/>
    <x v="10"/>
    <x v="0"/>
    <n v="8.3654053020342789E-2"/>
  </r>
  <r>
    <s v="ORD-100560"/>
    <d v="2025-09-29T00:00:00"/>
    <s v="Patricia Wilson"/>
    <x v="3"/>
    <x v="1"/>
    <x v="19"/>
    <n v="134.44"/>
    <n v="22.91"/>
    <n v="1"/>
    <x v="10"/>
    <x v="0"/>
    <n v="0.17041059208568879"/>
  </r>
  <r>
    <s v="ORD-100561"/>
    <d v="2025-05-01T00:00:00"/>
    <s v="Richard Davis"/>
    <x v="4"/>
    <x v="4"/>
    <x v="13"/>
    <n v="237.43"/>
    <n v="80.08"/>
    <n v="1"/>
    <x v="7"/>
    <x v="0"/>
    <n v="0.33727835572589815"/>
  </r>
  <r>
    <s v="ORD-100562"/>
    <d v="2025-06-24T00:00:00"/>
    <s v="Mark Taylor"/>
    <x v="1"/>
    <x v="0"/>
    <x v="18"/>
    <n v="145.1"/>
    <n v="20.58"/>
    <n v="5"/>
    <x v="3"/>
    <x v="0"/>
    <n v="0.14183321847002067"/>
  </r>
  <r>
    <s v="ORD-100563"/>
    <d v="2025-04-27T00:00:00"/>
    <s v="Elizabeth Brown"/>
    <x v="2"/>
    <x v="0"/>
    <x v="3"/>
    <n v="66.150000000000006"/>
    <n v="8.69"/>
    <n v="5"/>
    <x v="5"/>
    <x v="0"/>
    <n v="0.13136810279667421"/>
  </r>
  <r>
    <s v="ORD-100564"/>
    <d v="2025-03-12T00:00:00"/>
    <s v="Joseph Harris"/>
    <x v="1"/>
    <x v="3"/>
    <x v="7"/>
    <n v="262.68"/>
    <n v="46.91"/>
    <n v="6"/>
    <x v="4"/>
    <x v="0"/>
    <n v="0.17858230546672757"/>
  </r>
  <r>
    <s v="ORD-100565"/>
    <d v="2025-03-16T00:00:00"/>
    <s v="Thomas Martin"/>
    <x v="1"/>
    <x v="1"/>
    <x v="9"/>
    <n v="1665.2"/>
    <n v="205.95"/>
    <n v="5"/>
    <x v="4"/>
    <x v="0"/>
    <n v="0.12367883737689166"/>
  </r>
  <r>
    <s v="ORD-100566"/>
    <d v="2025-03-16T00:00:00"/>
    <s v="Betty Zimmerman"/>
    <x v="0"/>
    <x v="3"/>
    <x v="20"/>
    <n v="86.72"/>
    <n v="18.37"/>
    <n v="4"/>
    <x v="4"/>
    <x v="0"/>
    <n v="0.21183118081180813"/>
  </r>
  <r>
    <s v="ORD-100567"/>
    <d v="2025-11-23T00:00:00"/>
    <s v="Emily Davis"/>
    <x v="1"/>
    <x v="4"/>
    <x v="6"/>
    <n v="176.91"/>
    <n v="44.76"/>
    <n v="2"/>
    <x v="0"/>
    <x v="0"/>
    <n v="0.25301000508733251"/>
  </r>
  <r>
    <s v="ORD-100568"/>
    <d v="2025-10-18T00:00:00"/>
    <s v="Karen Brown"/>
    <x v="2"/>
    <x v="0"/>
    <x v="14"/>
    <n v="20.97"/>
    <n v="3.5"/>
    <n v="3"/>
    <x v="11"/>
    <x v="0"/>
    <n v="0.16690510252742013"/>
  </r>
  <r>
    <s v="ORD-100569"/>
    <d v="2025-11-06T00:00:00"/>
    <s v="Susan Moore"/>
    <x v="1"/>
    <x v="3"/>
    <x v="20"/>
    <n v="58.18"/>
    <n v="6.1"/>
    <n v="4"/>
    <x v="0"/>
    <x v="0"/>
    <n v="0.10484702646957716"/>
  </r>
  <r>
    <s v="ORD-100570"/>
    <d v="2025-01-08T00:00:00"/>
    <s v="Emily Davis"/>
    <x v="3"/>
    <x v="0"/>
    <x v="0"/>
    <n v="13.3"/>
    <n v="2.5099999999999998"/>
    <n v="2"/>
    <x v="1"/>
    <x v="0"/>
    <n v="0.18872180451127818"/>
  </r>
  <r>
    <s v="ORD-100571"/>
    <d v="2025-11-12T00:00:00"/>
    <s v="Susan Wilson"/>
    <x v="3"/>
    <x v="3"/>
    <x v="20"/>
    <n v="244.63"/>
    <n v="54.71"/>
    <n v="4"/>
    <x v="0"/>
    <x v="0"/>
    <n v="0.22364387033479133"/>
  </r>
  <r>
    <s v="ORD-100572"/>
    <d v="2025-07-21T00:00:00"/>
    <s v="Karen Martin"/>
    <x v="2"/>
    <x v="2"/>
    <x v="8"/>
    <n v="670.05"/>
    <n v="105.65"/>
    <n v="5"/>
    <x v="6"/>
    <x v="0"/>
    <n v="0.15767480038803075"/>
  </r>
  <r>
    <s v="ORD-100573"/>
    <d v="2025-05-06T00:00:00"/>
    <s v="Richard Harris"/>
    <x v="3"/>
    <x v="3"/>
    <x v="5"/>
    <n v="131.55000000000001"/>
    <n v="28.25"/>
    <n v="5"/>
    <x v="7"/>
    <x v="0"/>
    <n v="0.21474724439376661"/>
  </r>
  <r>
    <s v="ORD-100574"/>
    <d v="2025-04-08T00:00:00"/>
    <s v="Patricia Thomas"/>
    <x v="3"/>
    <x v="3"/>
    <x v="7"/>
    <n v="56.64"/>
    <n v="8.17"/>
    <n v="4"/>
    <x v="5"/>
    <x v="0"/>
    <n v="0.14424435028248586"/>
  </r>
  <r>
    <s v="ORD-100575"/>
    <d v="2025-12-20T00:00:00"/>
    <s v="Richard Ruiz"/>
    <x v="3"/>
    <x v="4"/>
    <x v="13"/>
    <n v="212.73"/>
    <n v="62.69"/>
    <n v="1"/>
    <x v="8"/>
    <x v="0"/>
    <n v="0.29469280308372114"/>
  </r>
  <r>
    <s v="ORD-100576"/>
    <d v="2025-12-23T00:00:00"/>
    <s v="Jessica Ruiz"/>
    <x v="3"/>
    <x v="1"/>
    <x v="16"/>
    <n v="100.93"/>
    <n v="24.48"/>
    <n v="1"/>
    <x v="8"/>
    <x v="0"/>
    <n v="0.24254433765976419"/>
  </r>
  <r>
    <s v="ORD-100577"/>
    <d v="2025-08-21T00:00:00"/>
    <s v="Kaden Davis"/>
    <x v="0"/>
    <x v="4"/>
    <x v="21"/>
    <n v="1139.8800000000001"/>
    <n v="139.97"/>
    <n v="6"/>
    <x v="2"/>
    <x v="0"/>
    <n v="0.12279362739937535"/>
  </r>
  <r>
    <s v="ORD-100578"/>
    <d v="2025-11-21T00:00:00"/>
    <s v="Jennifer Allen"/>
    <x v="2"/>
    <x v="4"/>
    <x v="12"/>
    <n v="1448.38"/>
    <n v="282.64999999999998"/>
    <n v="5"/>
    <x v="0"/>
    <x v="0"/>
    <n v="0.19514906309117769"/>
  </r>
  <r>
    <s v="ORD-100579"/>
    <d v="2025-06-21T00:00:00"/>
    <s v="Joseph Ruiz"/>
    <x v="1"/>
    <x v="3"/>
    <x v="15"/>
    <n v="46.92"/>
    <n v="6.86"/>
    <n v="6"/>
    <x v="3"/>
    <x v="0"/>
    <n v="0.14620630861040068"/>
  </r>
  <r>
    <s v="ORD-100580"/>
    <d v="2025-08-17T00:00:00"/>
    <s v="Patricia Johnson"/>
    <x v="4"/>
    <x v="3"/>
    <x v="15"/>
    <n v="39.24"/>
    <n v="5.41"/>
    <n v="1"/>
    <x v="2"/>
    <x v="0"/>
    <n v="0.13786952089704382"/>
  </r>
  <r>
    <s v="ORD-100581"/>
    <d v="2025-09-13T00:00:00"/>
    <s v="Jessica Zimmerman"/>
    <x v="2"/>
    <x v="3"/>
    <x v="15"/>
    <n v="74.78"/>
    <n v="12.81"/>
    <n v="2"/>
    <x v="10"/>
    <x v="0"/>
    <n v="0.17130248729606848"/>
  </r>
  <r>
    <s v="ORD-100582"/>
    <d v="2025-02-10T00:00:00"/>
    <s v="Karen Thompson"/>
    <x v="4"/>
    <x v="0"/>
    <x v="1"/>
    <n v="61.47"/>
    <n v="8.2100000000000009"/>
    <n v="3"/>
    <x v="9"/>
    <x v="0"/>
    <n v="0.13356108670896374"/>
  </r>
  <r>
    <s v="ORD-100583"/>
    <d v="2025-01-26T00:00:00"/>
    <s v="Sarah Ruiz"/>
    <x v="4"/>
    <x v="4"/>
    <x v="6"/>
    <n v="434.22"/>
    <n v="115.83"/>
    <n v="2"/>
    <x v="1"/>
    <x v="0"/>
    <n v="0.26675417990880196"/>
  </r>
  <r>
    <s v="ORD-100584"/>
    <d v="2025-06-02T00:00:00"/>
    <s v="Michael Allen"/>
    <x v="4"/>
    <x v="0"/>
    <x v="0"/>
    <n v="43.6"/>
    <n v="6.18"/>
    <n v="2"/>
    <x v="3"/>
    <x v="0"/>
    <n v="0.14174311926605504"/>
  </r>
  <r>
    <s v="ORD-100585"/>
    <d v="2025-11-01T00:00:00"/>
    <s v="Joseph Harris"/>
    <x v="1"/>
    <x v="3"/>
    <x v="23"/>
    <n v="190.27"/>
    <n v="27.57"/>
    <n v="3"/>
    <x v="0"/>
    <x v="0"/>
    <n v="0.1448993535502181"/>
  </r>
  <r>
    <s v="ORD-100586"/>
    <d v="2025-07-14T00:00:00"/>
    <s v="Paul Allen"/>
    <x v="3"/>
    <x v="4"/>
    <x v="6"/>
    <n v="392.79"/>
    <n v="51.26"/>
    <n v="3"/>
    <x v="6"/>
    <x v="0"/>
    <n v="0.13050230403014332"/>
  </r>
  <r>
    <s v="ORD-100587"/>
    <d v="2025-06-18T00:00:00"/>
    <s v="Richard Anderson"/>
    <x v="2"/>
    <x v="0"/>
    <x v="0"/>
    <n v="32.25"/>
    <n v="4.38"/>
    <n v="5"/>
    <x v="3"/>
    <x v="0"/>
    <n v="0.13581395348837208"/>
  </r>
  <r>
    <s v="ORD-100588"/>
    <d v="2025-09-28T00:00:00"/>
    <s v="Kaden Jackson"/>
    <x v="2"/>
    <x v="3"/>
    <x v="7"/>
    <n v="153.96"/>
    <n v="22.7"/>
    <n v="4"/>
    <x v="10"/>
    <x v="0"/>
    <n v="0.14744089373863339"/>
  </r>
  <r>
    <s v="ORD-100589"/>
    <d v="2025-11-16T00:00:00"/>
    <s v="Jennifer Ruiz"/>
    <x v="2"/>
    <x v="2"/>
    <x v="4"/>
    <n v="4367.63"/>
    <n v="482.99"/>
    <n v="6"/>
    <x v="0"/>
    <x v="0"/>
    <n v="0.11058400093414507"/>
  </r>
  <r>
    <s v="ORD-100590"/>
    <d v="2025-12-29T00:00:00"/>
    <s v="Patricia Smith"/>
    <x v="4"/>
    <x v="0"/>
    <x v="18"/>
    <n v="197.55"/>
    <n v="16.02"/>
    <n v="6"/>
    <x v="8"/>
    <x v="0"/>
    <n v="8.1093394077448741E-2"/>
  </r>
  <r>
    <s v="ORD-100591"/>
    <d v="2025-08-01T00:00:00"/>
    <s v="Elizabeth Carpenter"/>
    <x v="0"/>
    <x v="1"/>
    <x v="19"/>
    <n v="231.4"/>
    <n v="55.07"/>
    <n v="1"/>
    <x v="2"/>
    <x v="0"/>
    <n v="0.23798617113223855"/>
  </r>
  <r>
    <s v="ORD-100592"/>
    <d v="2025-02-04T00:00:00"/>
    <s v="Patricia Miller"/>
    <x v="2"/>
    <x v="2"/>
    <x v="8"/>
    <n v="629.82000000000005"/>
    <n v="86.93"/>
    <n v="1"/>
    <x v="9"/>
    <x v="0"/>
    <n v="0.13802356228763774"/>
  </r>
  <r>
    <s v="ORD-100593"/>
    <d v="2025-11-12T00:00:00"/>
    <s v="Dennis Johnson"/>
    <x v="1"/>
    <x v="1"/>
    <x v="17"/>
    <n v="1327.65"/>
    <n v="142.21"/>
    <n v="6"/>
    <x v="0"/>
    <x v="0"/>
    <n v="0.10711407373931382"/>
  </r>
  <r>
    <s v="ORD-100594"/>
    <d v="2025-03-21T00:00:00"/>
    <s v="Thomas Thomas"/>
    <x v="2"/>
    <x v="3"/>
    <x v="20"/>
    <n v="224.12"/>
    <n v="24.3"/>
    <n v="4"/>
    <x v="4"/>
    <x v="0"/>
    <n v="0.10842405854006783"/>
  </r>
  <r>
    <s v="ORD-100595"/>
    <d v="2025-10-17T00:00:00"/>
    <s v="Betty Wilson"/>
    <x v="2"/>
    <x v="2"/>
    <x v="22"/>
    <n v="3147.6"/>
    <n v="679.63"/>
    <n v="5"/>
    <x v="11"/>
    <x v="0"/>
    <n v="0.2159200660820943"/>
  </r>
  <r>
    <s v="ORD-100596"/>
    <d v="2025-07-01T00:00:00"/>
    <s v="Kaden Ruiz"/>
    <x v="0"/>
    <x v="4"/>
    <x v="10"/>
    <n v="663.84"/>
    <n v="206.19"/>
    <n v="4"/>
    <x v="6"/>
    <x v="0"/>
    <n v="0.31060195227765725"/>
  </r>
  <r>
    <s v="ORD-100597"/>
    <d v="2025-07-19T00:00:00"/>
    <s v="Sarah Thompson"/>
    <x v="4"/>
    <x v="3"/>
    <x v="7"/>
    <n v="313.08"/>
    <n v="64.64"/>
    <n v="6"/>
    <x v="6"/>
    <x v="0"/>
    <n v="0.20646480132873388"/>
  </r>
  <r>
    <s v="ORD-100598"/>
    <d v="2025-02-14T00:00:00"/>
    <s v="Susan Brown"/>
    <x v="0"/>
    <x v="2"/>
    <x v="24"/>
    <n v="983.18"/>
    <n v="107.91"/>
    <n v="2"/>
    <x v="9"/>
    <x v="0"/>
    <n v="0.10975609756097561"/>
  </r>
  <r>
    <s v="ORD-100599"/>
    <d v="2025-01-20T00:00:00"/>
    <s v="Daniel Smith"/>
    <x v="4"/>
    <x v="1"/>
    <x v="2"/>
    <n v="1274.56"/>
    <n v="166.73"/>
    <n v="4"/>
    <x v="1"/>
    <x v="0"/>
    <n v="0.13081377102686417"/>
  </r>
  <r>
    <s v="ORD-100600"/>
    <d v="2025-09-05T00:00:00"/>
    <s v="Betty White"/>
    <x v="0"/>
    <x v="4"/>
    <x v="21"/>
    <n v="209.98"/>
    <n v="70.239999999999995"/>
    <n v="1"/>
    <x v="10"/>
    <x v="0"/>
    <n v="0.33450804838556053"/>
  </r>
  <r>
    <s v="ORD-100601"/>
    <d v="2025-03-09T00:00:00"/>
    <s v="James Carpenter"/>
    <x v="3"/>
    <x v="1"/>
    <x v="9"/>
    <n v="21.36"/>
    <n v="6.12"/>
    <n v="1"/>
    <x v="4"/>
    <x v="0"/>
    <n v="0.2865168539325843"/>
  </r>
  <r>
    <s v="ORD-100602"/>
    <d v="2025-11-01T00:00:00"/>
    <s v="Ashley Allen"/>
    <x v="0"/>
    <x v="2"/>
    <x v="8"/>
    <n v="632.89"/>
    <n v="84.25"/>
    <n v="1"/>
    <x v="0"/>
    <x v="0"/>
    <n v="0.13311949943908105"/>
  </r>
  <r>
    <s v="ORD-100603"/>
    <d v="2025-06-09T00:00:00"/>
    <s v="Thomas Smith"/>
    <x v="0"/>
    <x v="0"/>
    <x v="3"/>
    <n v="54.93"/>
    <n v="9.11"/>
    <n v="3"/>
    <x v="3"/>
    <x v="0"/>
    <n v="0.16584744219916256"/>
  </r>
  <r>
    <s v="ORD-100604"/>
    <d v="2025-05-20T00:00:00"/>
    <s v="Rita Johnson"/>
    <x v="0"/>
    <x v="0"/>
    <x v="1"/>
    <n v="89.25"/>
    <n v="7.23"/>
    <n v="5"/>
    <x v="7"/>
    <x v="0"/>
    <n v="8.1008403361344544E-2"/>
  </r>
  <r>
    <s v="ORD-100605"/>
    <d v="2025-06-13T00:00:00"/>
    <s v="Robert Ruiz"/>
    <x v="0"/>
    <x v="2"/>
    <x v="22"/>
    <n v="307.77999999999997"/>
    <n v="71.31"/>
    <n v="1"/>
    <x v="3"/>
    <x v="0"/>
    <n v="0.2316914679316395"/>
  </r>
  <r>
    <s v="ORD-100606"/>
    <d v="2025-01-26T00:00:00"/>
    <s v="Rita Zimmerman"/>
    <x v="3"/>
    <x v="3"/>
    <x v="5"/>
    <n v="26.1"/>
    <n v="2.95"/>
    <n v="1"/>
    <x v="1"/>
    <x v="0"/>
    <n v="0.11302681992337164"/>
  </r>
  <r>
    <s v="ORD-100607"/>
    <d v="2025-12-27T00:00:00"/>
    <s v="Karen Martin"/>
    <x v="3"/>
    <x v="4"/>
    <x v="10"/>
    <n v="823.48"/>
    <n v="220.46"/>
    <n v="3"/>
    <x v="8"/>
    <x v="0"/>
    <n v="0.26771749162092584"/>
  </r>
  <r>
    <s v="ORD-100608"/>
    <d v="2025-08-27T00:00:00"/>
    <s v="Joseph Ruiz"/>
    <x v="4"/>
    <x v="4"/>
    <x v="13"/>
    <n v="127.51"/>
    <n v="34.57"/>
    <n v="1"/>
    <x v="2"/>
    <x v="0"/>
    <n v="0.2711159909026743"/>
  </r>
  <r>
    <s v="ORD-100609"/>
    <d v="2025-08-27T00:00:00"/>
    <s v="Susan Brown"/>
    <x v="1"/>
    <x v="0"/>
    <x v="1"/>
    <n v="83.46"/>
    <n v="9.08"/>
    <n v="3"/>
    <x v="2"/>
    <x v="0"/>
    <n v="0.10879463215911815"/>
  </r>
  <r>
    <s v="ORD-100610"/>
    <d v="2025-12-07T00:00:00"/>
    <s v="Michael Wilson"/>
    <x v="3"/>
    <x v="2"/>
    <x v="8"/>
    <n v="681.89"/>
    <n v="152.59"/>
    <n v="4"/>
    <x v="8"/>
    <x v="0"/>
    <n v="0.22377509568992068"/>
  </r>
  <r>
    <s v="ORD-100611"/>
    <d v="2025-06-28T00:00:00"/>
    <s v="Karen Martin"/>
    <x v="1"/>
    <x v="2"/>
    <x v="11"/>
    <n v="4351.26"/>
    <n v="589.15"/>
    <n v="6"/>
    <x v="3"/>
    <x v="0"/>
    <n v="0.13539756300473885"/>
  </r>
  <r>
    <s v="ORD-100612"/>
    <d v="2025-06-04T00:00:00"/>
    <s v="Jessica Thomas"/>
    <x v="3"/>
    <x v="2"/>
    <x v="22"/>
    <n v="1247.8499999999999"/>
    <n v="133.56"/>
    <n v="5"/>
    <x v="3"/>
    <x v="0"/>
    <n v="0.10703209520375045"/>
  </r>
  <r>
    <s v="ORD-100613"/>
    <d v="2025-02-03T00:00:00"/>
    <s v="Michael Smith"/>
    <x v="2"/>
    <x v="1"/>
    <x v="16"/>
    <n v="1399.1"/>
    <n v="292.27999999999997"/>
    <n v="5"/>
    <x v="9"/>
    <x v="0"/>
    <n v="0.20890572510899863"/>
  </r>
  <r>
    <s v="ORD-100614"/>
    <d v="2025-12-06T00:00:00"/>
    <s v="Nancy Allen"/>
    <x v="2"/>
    <x v="4"/>
    <x v="6"/>
    <n v="952.82"/>
    <n v="118.54"/>
    <n v="5"/>
    <x v="8"/>
    <x v="0"/>
    <n v="0.12440964715266262"/>
  </r>
  <r>
    <s v="ORD-100615"/>
    <d v="2025-06-07T00:00:00"/>
    <s v="David Allen"/>
    <x v="2"/>
    <x v="0"/>
    <x v="1"/>
    <n v="52.76"/>
    <n v="7.74"/>
    <n v="4"/>
    <x v="3"/>
    <x v="0"/>
    <n v="0.14670204700530706"/>
  </r>
  <r>
    <s v="ORD-100616"/>
    <d v="2025-04-22T00:00:00"/>
    <s v="Paul Ruiz"/>
    <x v="2"/>
    <x v="3"/>
    <x v="5"/>
    <n v="82.7"/>
    <n v="13.89"/>
    <n v="2"/>
    <x v="5"/>
    <x v="0"/>
    <n v="0.16795646916565901"/>
  </r>
  <r>
    <s v="ORD-100617"/>
    <d v="2025-11-12T00:00:00"/>
    <s v="Joseph Thomas"/>
    <x v="1"/>
    <x v="0"/>
    <x v="3"/>
    <n v="79.39"/>
    <n v="7.6"/>
    <n v="3"/>
    <x v="0"/>
    <x v="0"/>
    <n v="9.5729940798589236E-2"/>
  </r>
  <r>
    <s v="ORD-100618"/>
    <d v="2025-08-11T00:00:00"/>
    <s v="Charles Moore"/>
    <x v="4"/>
    <x v="2"/>
    <x v="4"/>
    <n v="1938.05"/>
    <n v="197.07"/>
    <n v="5"/>
    <x v="2"/>
    <x v="0"/>
    <n v="0.10168468305771265"/>
  </r>
  <r>
    <s v="ORD-100619"/>
    <d v="2025-07-09T00:00:00"/>
    <s v="Mark Harris"/>
    <x v="4"/>
    <x v="0"/>
    <x v="1"/>
    <n v="23.22"/>
    <n v="2.14"/>
    <n v="3"/>
    <x v="6"/>
    <x v="0"/>
    <n v="9.2161929371231702E-2"/>
  </r>
  <r>
    <s v="ORD-100620"/>
    <d v="2025-08-10T00:00:00"/>
    <s v="Charles Martin"/>
    <x v="3"/>
    <x v="4"/>
    <x v="13"/>
    <n v="443.4"/>
    <n v="104.77"/>
    <n v="4"/>
    <x v="2"/>
    <x v="0"/>
    <n v="0.23628777627424447"/>
  </r>
  <r>
    <s v="ORD-100621"/>
    <d v="2025-09-01T00:00:00"/>
    <s v="Rita Smith"/>
    <x v="2"/>
    <x v="1"/>
    <x v="17"/>
    <n v="283.64"/>
    <n v="84.95"/>
    <n v="4"/>
    <x v="10"/>
    <x v="0"/>
    <n v="0.2994993653927514"/>
  </r>
  <r>
    <s v="ORD-100622"/>
    <d v="2025-03-10T00:00:00"/>
    <s v="Dennis Allen"/>
    <x v="4"/>
    <x v="0"/>
    <x v="18"/>
    <n v="95.52"/>
    <n v="18.96"/>
    <n v="6"/>
    <x v="4"/>
    <x v="0"/>
    <n v="0.19849246231155782"/>
  </r>
  <r>
    <s v="ORD-100623"/>
    <d v="2025-11-25T00:00:00"/>
    <s v="Sandra Anderson"/>
    <x v="3"/>
    <x v="3"/>
    <x v="23"/>
    <n v="194.25"/>
    <n v="31.78"/>
    <n v="4"/>
    <x v="0"/>
    <x v="0"/>
    <n v="0.1636036036036036"/>
  </r>
  <r>
    <s v="ORD-100624"/>
    <d v="2025-07-16T00:00:00"/>
    <s v="Jennifer Brown"/>
    <x v="1"/>
    <x v="1"/>
    <x v="2"/>
    <n v="921.95"/>
    <n v="226.97"/>
    <n v="5"/>
    <x v="6"/>
    <x v="0"/>
    <n v="0.24618471717555179"/>
  </r>
  <r>
    <s v="ORD-100625"/>
    <d v="2025-05-18T00:00:00"/>
    <s v="Elizabeth Harris"/>
    <x v="2"/>
    <x v="1"/>
    <x v="2"/>
    <n v="897.4"/>
    <n v="155.88999999999999"/>
    <n v="5"/>
    <x v="7"/>
    <x v="0"/>
    <n v="0.1737129485179407"/>
  </r>
  <r>
    <s v="ORD-100626"/>
    <d v="2025-12-20T00:00:00"/>
    <s v="Kaden Ruiz"/>
    <x v="2"/>
    <x v="3"/>
    <x v="7"/>
    <n v="168.09"/>
    <n v="32.19"/>
    <n v="4"/>
    <x v="8"/>
    <x v="0"/>
    <n v="0.1915045511333214"/>
  </r>
  <r>
    <s v="ORD-100627"/>
    <d v="2025-11-19T00:00:00"/>
    <s v="Betty Allen"/>
    <x v="2"/>
    <x v="4"/>
    <x v="10"/>
    <n v="221.78"/>
    <n v="65.34"/>
    <n v="5"/>
    <x v="0"/>
    <x v="0"/>
    <n v="0.29461628640995585"/>
  </r>
  <r>
    <s v="ORD-100628"/>
    <d v="2025-09-20T00:00:00"/>
    <s v="Mark Jackson"/>
    <x v="2"/>
    <x v="4"/>
    <x v="13"/>
    <n v="723.39"/>
    <n v="216.7"/>
    <n v="3"/>
    <x v="10"/>
    <x v="0"/>
    <n v="0.29956178548224333"/>
  </r>
  <r>
    <s v="ORD-100629"/>
    <d v="2025-01-19T00:00:00"/>
    <s v="Charles Thompson"/>
    <x v="0"/>
    <x v="4"/>
    <x v="12"/>
    <n v="116.46"/>
    <n v="25.42"/>
    <n v="3"/>
    <x v="1"/>
    <x v="0"/>
    <n v="0.21827236819508847"/>
  </r>
  <r>
    <s v="ORD-100630"/>
    <d v="2025-01-27T00:00:00"/>
    <s v="Nancy Miller"/>
    <x v="2"/>
    <x v="0"/>
    <x v="18"/>
    <n v="8.17"/>
    <n v="0.5"/>
    <n v="1"/>
    <x v="1"/>
    <x v="0"/>
    <n v="6.1199510403916767E-2"/>
  </r>
  <r>
    <s v="ORD-100631"/>
    <d v="2025-05-10T00:00:00"/>
    <s v="Rita Thompson"/>
    <x v="0"/>
    <x v="1"/>
    <x v="17"/>
    <n v="264.67"/>
    <n v="58.43"/>
    <n v="1"/>
    <x v="7"/>
    <x v="0"/>
    <n v="0.22076548154305359"/>
  </r>
  <r>
    <s v="ORD-100632"/>
    <d v="2025-03-19T00:00:00"/>
    <s v="Nancy Thomas"/>
    <x v="0"/>
    <x v="4"/>
    <x v="10"/>
    <n v="468.84"/>
    <n v="68.08"/>
    <n v="6"/>
    <x v="4"/>
    <x v="0"/>
    <n v="0.14520945311833461"/>
  </r>
  <r>
    <s v="ORD-100633"/>
    <d v="2025-01-17T00:00:00"/>
    <s v="Michael Allen"/>
    <x v="1"/>
    <x v="2"/>
    <x v="22"/>
    <n v="2749.48"/>
    <n v="412.98"/>
    <n v="4"/>
    <x v="1"/>
    <x v="0"/>
    <n v="0.15020294746643001"/>
  </r>
  <r>
    <s v="ORD-100634"/>
    <d v="2025-12-05T00:00:00"/>
    <s v="William Johnson"/>
    <x v="1"/>
    <x v="2"/>
    <x v="24"/>
    <n v="785.83"/>
    <n v="78.36"/>
    <n v="1"/>
    <x v="8"/>
    <x v="0"/>
    <n v="9.9716223610704605E-2"/>
  </r>
  <r>
    <s v="ORD-100635"/>
    <d v="2025-07-24T00:00:00"/>
    <s v="Susan Miller"/>
    <x v="3"/>
    <x v="4"/>
    <x v="12"/>
    <n v="220.92"/>
    <n v="61.06"/>
    <n v="2"/>
    <x v="6"/>
    <x v="0"/>
    <n v="0.27638964330979543"/>
  </r>
  <r>
    <s v="ORD-100636"/>
    <d v="2025-03-16T00:00:00"/>
    <s v="Richard Anderson"/>
    <x v="4"/>
    <x v="1"/>
    <x v="16"/>
    <n v="975.6"/>
    <n v="285.22000000000003"/>
    <n v="4"/>
    <x v="4"/>
    <x v="0"/>
    <n v="0.29235342353423538"/>
  </r>
  <r>
    <s v="ORD-100637"/>
    <d v="2025-01-22T00:00:00"/>
    <s v="Matthew Harris"/>
    <x v="0"/>
    <x v="3"/>
    <x v="20"/>
    <n v="277.45"/>
    <n v="63.47"/>
    <n v="5"/>
    <x v="1"/>
    <x v="0"/>
    <n v="0.22876193908812398"/>
  </r>
  <r>
    <s v="ORD-100638"/>
    <d v="2025-05-17T00:00:00"/>
    <s v="Sandra Alvarado"/>
    <x v="0"/>
    <x v="4"/>
    <x v="13"/>
    <n v="795.84"/>
    <n v="228.62"/>
    <n v="4"/>
    <x v="7"/>
    <x v="0"/>
    <n v="0.28726879774829112"/>
  </r>
  <r>
    <s v="ORD-100639"/>
    <d v="2025-10-29T00:00:00"/>
    <s v="Daniel Smith"/>
    <x v="2"/>
    <x v="1"/>
    <x v="19"/>
    <n v="602.13"/>
    <n v="141.24"/>
    <n v="3"/>
    <x v="11"/>
    <x v="0"/>
    <n v="0.23456728613422353"/>
  </r>
  <r>
    <s v="ORD-100640"/>
    <d v="2025-01-07T00:00:00"/>
    <s v="Elizabeth Alvarado"/>
    <x v="2"/>
    <x v="0"/>
    <x v="18"/>
    <n v="31.47"/>
    <n v="2.91"/>
    <n v="3"/>
    <x v="1"/>
    <x v="0"/>
    <n v="9.2469018112488088E-2"/>
  </r>
  <r>
    <s v="ORD-100641"/>
    <d v="2025-01-13T00:00:00"/>
    <s v="Karen Allen"/>
    <x v="4"/>
    <x v="3"/>
    <x v="15"/>
    <n v="200.45"/>
    <n v="41.34"/>
    <n v="5"/>
    <x v="1"/>
    <x v="0"/>
    <n v="0.20623596906959343"/>
  </r>
  <r>
    <s v="ORD-100642"/>
    <d v="2025-11-06T00:00:00"/>
    <s v="Rita Taylor"/>
    <x v="2"/>
    <x v="4"/>
    <x v="21"/>
    <n v="213.47"/>
    <n v="46.27"/>
    <n v="1"/>
    <x v="0"/>
    <x v="0"/>
    <n v="0.21675176839836982"/>
  </r>
  <r>
    <s v="ORD-100643"/>
    <d v="2025-11-24T00:00:00"/>
    <s v="William Davis"/>
    <x v="3"/>
    <x v="4"/>
    <x v="10"/>
    <n v="206.84"/>
    <n v="60.87"/>
    <n v="3"/>
    <x v="0"/>
    <x v="0"/>
    <n v="0.2942854380197254"/>
  </r>
  <r>
    <s v="ORD-100644"/>
    <d v="2025-06-20T00:00:00"/>
    <s v="Marie Davis"/>
    <x v="0"/>
    <x v="0"/>
    <x v="14"/>
    <n v="117.96"/>
    <n v="9.4499999999999993"/>
    <n v="4"/>
    <x v="3"/>
    <x v="0"/>
    <n v="8.0111902339776192E-2"/>
  </r>
  <r>
    <s v="ORD-100645"/>
    <d v="2025-11-27T00:00:00"/>
    <s v="Susan Alvarado"/>
    <x v="1"/>
    <x v="2"/>
    <x v="11"/>
    <n v="1285.83"/>
    <n v="199.39"/>
    <n v="2"/>
    <x v="0"/>
    <x v="0"/>
    <n v="0.15506715506715507"/>
  </r>
  <r>
    <s v="ORD-100646"/>
    <d v="2025-01-18T00:00:00"/>
    <s v="Kaden Allen"/>
    <x v="2"/>
    <x v="4"/>
    <x v="13"/>
    <n v="226.72"/>
    <n v="31.11"/>
    <n v="1"/>
    <x v="1"/>
    <x v="0"/>
    <n v="0.13721771347918138"/>
  </r>
  <r>
    <s v="ORD-100647"/>
    <d v="2025-01-20T00:00:00"/>
    <s v="Nancy Taylor"/>
    <x v="0"/>
    <x v="0"/>
    <x v="3"/>
    <n v="77.48"/>
    <n v="9.86"/>
    <n v="4"/>
    <x v="1"/>
    <x v="0"/>
    <n v="0.12725864739287557"/>
  </r>
  <r>
    <s v="ORD-100648"/>
    <d v="2025-09-09T00:00:00"/>
    <s v="Susan Anderson"/>
    <x v="3"/>
    <x v="4"/>
    <x v="6"/>
    <n v="379.1"/>
    <n v="74.34"/>
    <n v="5"/>
    <x v="10"/>
    <x v="0"/>
    <n v="0.19609601688208916"/>
  </r>
  <r>
    <s v="ORD-100649"/>
    <d v="2025-09-04T00:00:00"/>
    <s v="Matthew Martin"/>
    <x v="2"/>
    <x v="3"/>
    <x v="7"/>
    <n v="127.5"/>
    <n v="20.41"/>
    <n v="3"/>
    <x v="10"/>
    <x v="0"/>
    <n v="0.16007843137254901"/>
  </r>
  <r>
    <s v="ORD-100650"/>
    <d v="2025-11-28T00:00:00"/>
    <s v="Kaden Moore"/>
    <x v="2"/>
    <x v="3"/>
    <x v="7"/>
    <n v="68.08"/>
    <n v="9.77"/>
    <n v="1"/>
    <x v="0"/>
    <x v="0"/>
    <n v="0.14350763807285546"/>
  </r>
  <r>
    <s v="ORD-100651"/>
    <d v="2025-10-11T00:00:00"/>
    <s v="Marie Taylor"/>
    <x v="1"/>
    <x v="1"/>
    <x v="16"/>
    <n v="228.1"/>
    <n v="39.200000000000003"/>
    <n v="1"/>
    <x v="11"/>
    <x v="0"/>
    <n v="0.17185444980271813"/>
  </r>
  <r>
    <s v="ORD-100652"/>
    <d v="2025-11-20T00:00:00"/>
    <s v="William Smith"/>
    <x v="1"/>
    <x v="0"/>
    <x v="14"/>
    <n v="210.25"/>
    <n v="22.77"/>
    <n v="6"/>
    <x v="0"/>
    <x v="0"/>
    <n v="0.10829964328180737"/>
  </r>
  <r>
    <s v="ORD-100653"/>
    <d v="2025-11-26T00:00:00"/>
    <s v="Patricia Jackson"/>
    <x v="2"/>
    <x v="3"/>
    <x v="20"/>
    <n v="7.86"/>
    <n v="1.71"/>
    <n v="1"/>
    <x v="0"/>
    <x v="0"/>
    <n v="0.21755725190839692"/>
  </r>
  <r>
    <s v="ORD-100654"/>
    <d v="2025-03-02T00:00:00"/>
    <s v="James White"/>
    <x v="3"/>
    <x v="3"/>
    <x v="23"/>
    <n v="91.52"/>
    <n v="12.35"/>
    <n v="2"/>
    <x v="4"/>
    <x v="0"/>
    <n v="0.13494318181818182"/>
  </r>
  <r>
    <s v="ORD-100655"/>
    <d v="2025-03-14T00:00:00"/>
    <s v="Susan Zimmerman"/>
    <x v="3"/>
    <x v="3"/>
    <x v="23"/>
    <n v="18.350000000000001"/>
    <n v="-1.81"/>
    <n v="1"/>
    <x v="4"/>
    <x v="0"/>
    <n v="-9.8637602179836512E-2"/>
  </r>
  <r>
    <s v="ORD-100656"/>
    <d v="2025-11-20T00:00:00"/>
    <s v="Marie Miller"/>
    <x v="4"/>
    <x v="2"/>
    <x v="22"/>
    <n v="638.99"/>
    <n v="63.52"/>
    <n v="5"/>
    <x v="0"/>
    <x v="0"/>
    <n v="9.9406876476940173E-2"/>
  </r>
  <r>
    <s v="ORD-100657"/>
    <d v="2025-11-12T00:00:00"/>
    <s v="Linda Allen"/>
    <x v="1"/>
    <x v="1"/>
    <x v="16"/>
    <n v="234.39"/>
    <n v="49.03"/>
    <n v="3"/>
    <x v="0"/>
    <x v="0"/>
    <n v="0.20918127906480655"/>
  </r>
  <r>
    <s v="ORD-100658"/>
    <d v="2025-04-20T00:00:00"/>
    <s v="Daniel Carpenter"/>
    <x v="2"/>
    <x v="0"/>
    <x v="14"/>
    <n v="11.85"/>
    <n v="1.94"/>
    <n v="1"/>
    <x v="5"/>
    <x v="0"/>
    <n v="0.16371308016877636"/>
  </r>
  <r>
    <s v="ORD-100659"/>
    <d v="2025-07-09T00:00:00"/>
    <s v="Jessica Johnson"/>
    <x v="3"/>
    <x v="0"/>
    <x v="1"/>
    <n v="8.33"/>
    <n v="1.4"/>
    <n v="1"/>
    <x v="6"/>
    <x v="0"/>
    <n v="0.16806722689075629"/>
  </r>
  <r>
    <s v="ORD-100660"/>
    <d v="2025-07-12T00:00:00"/>
    <s v="Daniel Johnson"/>
    <x v="4"/>
    <x v="3"/>
    <x v="5"/>
    <n v="5.4"/>
    <n v="1.29"/>
    <n v="1"/>
    <x v="6"/>
    <x v="0"/>
    <n v="0.23888888888888887"/>
  </r>
  <r>
    <s v="ORD-100661"/>
    <d v="2025-10-31T00:00:00"/>
    <s v="Mark Miller"/>
    <x v="3"/>
    <x v="4"/>
    <x v="13"/>
    <n v="321.3"/>
    <n v="43.62"/>
    <n v="6"/>
    <x v="11"/>
    <x v="0"/>
    <n v="0.13576097105508869"/>
  </r>
  <r>
    <s v="ORD-100662"/>
    <d v="2025-08-19T00:00:00"/>
    <s v="Elizabeth Brown"/>
    <x v="1"/>
    <x v="4"/>
    <x v="6"/>
    <n v="327.5"/>
    <n v="73.680000000000007"/>
    <n v="5"/>
    <x v="2"/>
    <x v="0"/>
    <n v="0.22497709923664125"/>
  </r>
  <r>
    <s v="ORD-100663"/>
    <d v="2025-11-18T00:00:00"/>
    <s v="Paul Miller"/>
    <x v="0"/>
    <x v="1"/>
    <x v="9"/>
    <n v="232.65"/>
    <n v="68.72"/>
    <n v="2"/>
    <x v="0"/>
    <x v="0"/>
    <n v="0.29537932516655918"/>
  </r>
  <r>
    <s v="ORD-100664"/>
    <d v="2025-10-04T00:00:00"/>
    <s v="Richard Brown"/>
    <x v="3"/>
    <x v="4"/>
    <x v="21"/>
    <n v="110.82"/>
    <n v="14.2"/>
    <n v="3"/>
    <x v="11"/>
    <x v="0"/>
    <n v="0.12813571557480599"/>
  </r>
  <r>
    <s v="ORD-100665"/>
    <d v="2025-08-31T00:00:00"/>
    <s v="Susan Johnson"/>
    <x v="1"/>
    <x v="4"/>
    <x v="6"/>
    <n v="170.09"/>
    <n v="29.13"/>
    <n v="1"/>
    <x v="2"/>
    <x v="0"/>
    <n v="0.17126227291433946"/>
  </r>
  <r>
    <s v="ORD-100666"/>
    <d v="2025-06-21T00:00:00"/>
    <s v="Karen Thomas"/>
    <x v="4"/>
    <x v="0"/>
    <x v="14"/>
    <n v="47"/>
    <n v="7.89"/>
    <n v="5"/>
    <x v="3"/>
    <x v="0"/>
    <n v="0.1678723404255319"/>
  </r>
  <r>
    <s v="ORD-100667"/>
    <d v="2025-03-01T00:00:00"/>
    <s v="Kaden Brown"/>
    <x v="3"/>
    <x v="2"/>
    <x v="24"/>
    <n v="843.72"/>
    <n v="164.58"/>
    <n v="4"/>
    <x v="4"/>
    <x v="0"/>
    <n v="0.19506471341203244"/>
  </r>
  <r>
    <s v="ORD-100668"/>
    <d v="2025-02-26T00:00:00"/>
    <s v="Michael Brown"/>
    <x v="4"/>
    <x v="0"/>
    <x v="18"/>
    <n v="28.78"/>
    <n v="2.39"/>
    <n v="2"/>
    <x v="9"/>
    <x v="0"/>
    <n v="8.3043780403057682E-2"/>
  </r>
  <r>
    <s v="ORD-100669"/>
    <d v="2025-09-06T00:00:00"/>
    <s v="Marie Anderson"/>
    <x v="1"/>
    <x v="0"/>
    <x v="1"/>
    <n v="37.799999999999997"/>
    <n v="4.01"/>
    <n v="4"/>
    <x v="10"/>
    <x v="0"/>
    <n v="0.10608465608465609"/>
  </r>
  <r>
    <s v="ORD-100670"/>
    <d v="2025-04-10T00:00:00"/>
    <s v="Thomas Moore"/>
    <x v="0"/>
    <x v="0"/>
    <x v="0"/>
    <n v="22.31"/>
    <n v="1.32"/>
    <n v="1"/>
    <x v="5"/>
    <x v="0"/>
    <n v="5.9166293142088752E-2"/>
  </r>
  <r>
    <s v="ORD-100671"/>
    <d v="2025-08-27T00:00:00"/>
    <s v="William Anderson"/>
    <x v="1"/>
    <x v="4"/>
    <x v="21"/>
    <n v="482.46"/>
    <n v="143.47999999999999"/>
    <n v="3"/>
    <x v="2"/>
    <x v="0"/>
    <n v="0.2973925299506695"/>
  </r>
  <r>
    <s v="ORD-100672"/>
    <d v="2025-11-10T00:00:00"/>
    <s v="Mark Johnson"/>
    <x v="2"/>
    <x v="3"/>
    <x v="15"/>
    <n v="34.729999999999997"/>
    <n v="7.96"/>
    <n v="1"/>
    <x v="0"/>
    <x v="0"/>
    <n v="0.22919665994817162"/>
  </r>
  <r>
    <s v="ORD-100673"/>
    <d v="2025-08-31T00:00:00"/>
    <s v="Paul Thomas"/>
    <x v="0"/>
    <x v="0"/>
    <x v="18"/>
    <n v="160.86000000000001"/>
    <n v="14.02"/>
    <n v="6"/>
    <x v="2"/>
    <x v="0"/>
    <n v="8.7156533631729441E-2"/>
  </r>
  <r>
    <s v="ORD-100674"/>
    <d v="2025-04-24T00:00:00"/>
    <s v="Mark Martin"/>
    <x v="1"/>
    <x v="3"/>
    <x v="5"/>
    <n v="235.64"/>
    <n v="24.98"/>
    <n v="4"/>
    <x v="5"/>
    <x v="0"/>
    <n v="0.10600916652520795"/>
  </r>
  <r>
    <s v="ORD-100675"/>
    <d v="2025-09-16T00:00:00"/>
    <s v="Marie Anderson"/>
    <x v="2"/>
    <x v="1"/>
    <x v="2"/>
    <n v="733.76"/>
    <n v="85.57"/>
    <n v="4"/>
    <x v="10"/>
    <x v="0"/>
    <n v="0.11661851286524204"/>
  </r>
  <r>
    <s v="ORD-100676"/>
    <d v="2025-12-21T00:00:00"/>
    <s v="Betty Anderson"/>
    <x v="1"/>
    <x v="0"/>
    <x v="3"/>
    <n v="47.77"/>
    <n v="5.83"/>
    <n v="2"/>
    <x v="8"/>
    <x v="0"/>
    <n v="0.12204312329914171"/>
  </r>
  <r>
    <s v="ORD-100677"/>
    <d v="2025-12-27T00:00:00"/>
    <s v="William Martin"/>
    <x v="2"/>
    <x v="0"/>
    <x v="18"/>
    <n v="132.41"/>
    <n v="14.67"/>
    <n v="4"/>
    <x v="8"/>
    <x v="0"/>
    <n v="0.11079223623593384"/>
  </r>
  <r>
    <s v="ORD-100678"/>
    <d v="2025-07-09T00:00:00"/>
    <s v="Thomas Thomas"/>
    <x v="4"/>
    <x v="3"/>
    <x v="5"/>
    <n v="216.56"/>
    <n v="32.47"/>
    <n v="4"/>
    <x v="6"/>
    <x v="0"/>
    <n v="0.14993535278906539"/>
  </r>
  <r>
    <s v="ORD-100679"/>
    <d v="2025-08-07T00:00:00"/>
    <s v="Daniel Davis"/>
    <x v="2"/>
    <x v="2"/>
    <x v="22"/>
    <n v="657.72"/>
    <n v="151.11000000000001"/>
    <n v="6"/>
    <x v="2"/>
    <x v="0"/>
    <n v="0.22974822112753149"/>
  </r>
  <r>
    <s v="ORD-100680"/>
    <d v="2025-01-29T00:00:00"/>
    <s v="Richard Moore"/>
    <x v="4"/>
    <x v="0"/>
    <x v="3"/>
    <n v="81.92"/>
    <n v="8.59"/>
    <n v="4"/>
    <x v="1"/>
    <x v="0"/>
    <n v="0.1048583984375"/>
  </r>
  <r>
    <s v="ORD-100681"/>
    <d v="2025-10-14T00:00:00"/>
    <s v="Charles Allen"/>
    <x v="2"/>
    <x v="4"/>
    <x v="21"/>
    <n v="491.56"/>
    <n v="78.48"/>
    <n v="2"/>
    <x v="11"/>
    <x v="0"/>
    <n v="0.15965497599479209"/>
  </r>
  <r>
    <s v="ORD-100682"/>
    <d v="2025-09-02T00:00:00"/>
    <s v="Betty Martin"/>
    <x v="1"/>
    <x v="4"/>
    <x v="21"/>
    <n v="313.08"/>
    <n v="52.23"/>
    <n v="3"/>
    <x v="10"/>
    <x v="0"/>
    <n v="0.16682637025680336"/>
  </r>
  <r>
    <s v="ORD-100683"/>
    <d v="2025-05-22T00:00:00"/>
    <s v="Marie Allen"/>
    <x v="0"/>
    <x v="1"/>
    <x v="16"/>
    <n v="969.05"/>
    <n v="120.69"/>
    <n v="5"/>
    <x v="7"/>
    <x v="0"/>
    <n v="0.12454465713843456"/>
  </r>
  <r>
    <s v="ORD-100684"/>
    <d v="2025-12-14T00:00:00"/>
    <s v="Paul Harris"/>
    <x v="0"/>
    <x v="2"/>
    <x v="24"/>
    <n v="6871.71"/>
    <n v="1648.86"/>
    <n v="6"/>
    <x v="8"/>
    <x v="0"/>
    <n v="0.23994900832543864"/>
  </r>
  <r>
    <s v="ORD-100685"/>
    <d v="2025-08-23T00:00:00"/>
    <s v="Kaden Allen"/>
    <x v="3"/>
    <x v="3"/>
    <x v="7"/>
    <n v="11.02"/>
    <n v="1.56"/>
    <n v="1"/>
    <x v="2"/>
    <x v="0"/>
    <n v="0.14156079854809439"/>
  </r>
  <r>
    <s v="ORD-100686"/>
    <d v="2025-09-12T00:00:00"/>
    <s v="Rita Smith"/>
    <x v="2"/>
    <x v="3"/>
    <x v="5"/>
    <n v="83.73"/>
    <n v="16.940000000000001"/>
    <n v="3"/>
    <x v="10"/>
    <x v="0"/>
    <n v="0.20231697121700706"/>
  </r>
  <r>
    <s v="ORD-100687"/>
    <d v="2025-08-31T00:00:00"/>
    <s v="Jennifer Anderson"/>
    <x v="3"/>
    <x v="4"/>
    <x v="6"/>
    <n v="202.62"/>
    <n v="21.38"/>
    <n v="3"/>
    <x v="2"/>
    <x v="0"/>
    <n v="0.10551771789556805"/>
  </r>
  <r>
    <s v="ORD-100688"/>
    <d v="2025-09-24T00:00:00"/>
    <s v="Thomas Wilson"/>
    <x v="3"/>
    <x v="2"/>
    <x v="24"/>
    <n v="2201.16"/>
    <n v="436.86"/>
    <n v="4"/>
    <x v="10"/>
    <x v="0"/>
    <n v="0.19846808046666306"/>
  </r>
  <r>
    <s v="ORD-100689"/>
    <d v="2025-08-16T00:00:00"/>
    <s v="William Miller"/>
    <x v="2"/>
    <x v="0"/>
    <x v="3"/>
    <n v="49.46"/>
    <n v="4.16"/>
    <n v="2"/>
    <x v="2"/>
    <x v="0"/>
    <n v="8.4108370400323498E-2"/>
  </r>
  <r>
    <s v="ORD-100690"/>
    <d v="2025-05-28T00:00:00"/>
    <s v="Daniel Carpenter"/>
    <x v="1"/>
    <x v="1"/>
    <x v="16"/>
    <n v="448.3"/>
    <n v="59.25"/>
    <n v="2"/>
    <x v="7"/>
    <x v="0"/>
    <n v="0.13216596029444569"/>
  </r>
  <r>
    <s v="ORD-100691"/>
    <d v="2025-04-04T00:00:00"/>
    <s v="Sarah Ruiz"/>
    <x v="1"/>
    <x v="0"/>
    <x v="14"/>
    <n v="58.08"/>
    <n v="6.75"/>
    <n v="3"/>
    <x v="5"/>
    <x v="0"/>
    <n v="0.11621900826446281"/>
  </r>
  <r>
    <s v="ORD-100692"/>
    <d v="2025-04-16T00:00:00"/>
    <s v="Jessica Carpenter"/>
    <x v="0"/>
    <x v="3"/>
    <x v="15"/>
    <n v="88.98"/>
    <n v="21.92"/>
    <n v="3"/>
    <x v="5"/>
    <x v="0"/>
    <n v="0.24634749381883569"/>
  </r>
  <r>
    <s v="ORD-100693"/>
    <d v="2025-03-04T00:00:00"/>
    <s v="Emily Zimmerman"/>
    <x v="3"/>
    <x v="3"/>
    <x v="15"/>
    <n v="224.12"/>
    <n v="27.66"/>
    <n v="4"/>
    <x v="4"/>
    <x v="0"/>
    <n v="0.12341602712832411"/>
  </r>
  <r>
    <s v="ORD-100694"/>
    <d v="2025-10-07T00:00:00"/>
    <s v="Richard Wilson"/>
    <x v="0"/>
    <x v="2"/>
    <x v="24"/>
    <n v="3067.6"/>
    <n v="662.38"/>
    <n v="5"/>
    <x v="11"/>
    <x v="0"/>
    <n v="0.21592776111618203"/>
  </r>
  <r>
    <s v="ORD-100695"/>
    <d v="2025-08-15T00:00:00"/>
    <s v="Michael Alvarado"/>
    <x v="3"/>
    <x v="3"/>
    <x v="15"/>
    <n v="211.8"/>
    <n v="30.97"/>
    <n v="6"/>
    <x v="2"/>
    <x v="0"/>
    <n v="0.14622285174693106"/>
  </r>
  <r>
    <s v="ORD-100696"/>
    <d v="2025-04-23T00:00:00"/>
    <s v="William Moore"/>
    <x v="4"/>
    <x v="1"/>
    <x v="9"/>
    <n v="506.4"/>
    <n v="103.96"/>
    <n v="6"/>
    <x v="5"/>
    <x v="0"/>
    <n v="0.20529225908372828"/>
  </r>
  <r>
    <s v="ORD-100697"/>
    <d v="2025-05-23T00:00:00"/>
    <s v="James Zimmerman"/>
    <x v="4"/>
    <x v="2"/>
    <x v="11"/>
    <n v="3705.24"/>
    <n v="351.46"/>
    <n v="6"/>
    <x v="7"/>
    <x v="0"/>
    <n v="9.4854854206475159E-2"/>
  </r>
  <r>
    <s v="ORD-100698"/>
    <d v="2025-04-10T00:00:00"/>
    <s v="Susan Wilson"/>
    <x v="2"/>
    <x v="4"/>
    <x v="6"/>
    <n v="637.44000000000005"/>
    <n v="87.32"/>
    <n v="6"/>
    <x v="5"/>
    <x v="0"/>
    <n v="0.13698544176706826"/>
  </r>
  <r>
    <s v="ORD-100699"/>
    <d v="2025-07-09T00:00:00"/>
    <s v="David Moore"/>
    <x v="4"/>
    <x v="1"/>
    <x v="17"/>
    <n v="1027.74"/>
    <n v="282.48"/>
    <n v="3"/>
    <x v="6"/>
    <x v="0"/>
    <n v="0.27485550820246368"/>
  </r>
  <r>
    <s v="ORD-100700"/>
    <d v="2025-08-16T00:00:00"/>
    <s v="Betty Anderson"/>
    <x v="3"/>
    <x v="1"/>
    <x v="16"/>
    <n v="1894.92"/>
    <n v="242.39"/>
    <n v="6"/>
    <x v="2"/>
    <x v="0"/>
    <n v="0.12791569037215289"/>
  </r>
  <r>
    <s v="ORD-100701"/>
    <d v="2025-02-14T00:00:00"/>
    <s v="Rita Smith"/>
    <x v="0"/>
    <x v="2"/>
    <x v="4"/>
    <n v="290.58"/>
    <n v="70.67"/>
    <n v="3"/>
    <x v="9"/>
    <x v="0"/>
    <n v="0.24320324867506368"/>
  </r>
  <r>
    <s v="ORD-100702"/>
    <d v="2025-02-15T00:00:00"/>
    <s v="Dennis Anderson"/>
    <x v="0"/>
    <x v="1"/>
    <x v="9"/>
    <n v="1017.52"/>
    <n v="255.45"/>
    <n v="4"/>
    <x v="9"/>
    <x v="0"/>
    <n v="0.25105157638179104"/>
  </r>
  <r>
    <s v="ORD-100703"/>
    <d v="2025-04-06T00:00:00"/>
    <s v="Paul Taylor"/>
    <x v="0"/>
    <x v="2"/>
    <x v="8"/>
    <n v="2273.2199999999998"/>
    <n v="299.3"/>
    <n v="3"/>
    <x v="5"/>
    <x v="0"/>
    <n v="0.13166345536287735"/>
  </r>
  <r>
    <s v="ORD-100704"/>
    <d v="2025-08-26T00:00:00"/>
    <s v="Linda Zimmerman"/>
    <x v="4"/>
    <x v="0"/>
    <x v="3"/>
    <n v="155.16"/>
    <n v="18.760000000000002"/>
    <n v="6"/>
    <x v="2"/>
    <x v="0"/>
    <n v="0.12090745037380769"/>
  </r>
  <r>
    <s v="ORD-100705"/>
    <d v="2025-05-28T00:00:00"/>
    <s v="Elizabeth Johnson"/>
    <x v="3"/>
    <x v="3"/>
    <x v="15"/>
    <n v="11.56"/>
    <n v="1.64"/>
    <n v="1"/>
    <x v="7"/>
    <x v="0"/>
    <n v="0.14186851211072662"/>
  </r>
  <r>
    <s v="ORD-100706"/>
    <d v="2025-02-04T00:00:00"/>
    <s v="Karen Moore"/>
    <x v="2"/>
    <x v="2"/>
    <x v="11"/>
    <n v="1740.24"/>
    <n v="280.05"/>
    <n v="3"/>
    <x v="9"/>
    <x v="0"/>
    <n v="0.16092607916149498"/>
  </r>
  <r>
    <s v="ORD-100707"/>
    <d v="2025-03-03T00:00:00"/>
    <s v="Jennifer White"/>
    <x v="2"/>
    <x v="0"/>
    <x v="3"/>
    <n v="39.08"/>
    <n v="2.81"/>
    <n v="2"/>
    <x v="4"/>
    <x v="0"/>
    <n v="7.1903787103377692E-2"/>
  </r>
  <r>
    <s v="ORD-100708"/>
    <d v="2025-12-21T00:00:00"/>
    <s v="Rita Moore"/>
    <x v="1"/>
    <x v="0"/>
    <x v="3"/>
    <n v="115.97"/>
    <n v="6.65"/>
    <n v="4"/>
    <x v="8"/>
    <x v="0"/>
    <n v="5.7342416142105723E-2"/>
  </r>
  <r>
    <s v="ORD-100709"/>
    <d v="2025-11-24T00:00:00"/>
    <s v="Emily Allen"/>
    <x v="2"/>
    <x v="0"/>
    <x v="0"/>
    <n v="22.97"/>
    <n v="2.2599999999999998"/>
    <n v="1"/>
    <x v="0"/>
    <x v="0"/>
    <n v="9.8389203308663464E-2"/>
  </r>
  <r>
    <s v="ORD-100710"/>
    <d v="2025-12-17T00:00:00"/>
    <s v="Sandra Miller"/>
    <x v="0"/>
    <x v="4"/>
    <x v="10"/>
    <n v="175.09"/>
    <n v="23.8"/>
    <n v="1"/>
    <x v="8"/>
    <x v="0"/>
    <n v="0.13593009309497972"/>
  </r>
  <r>
    <s v="ORD-100711"/>
    <d v="2025-05-25T00:00:00"/>
    <s v="Jennifer Jackson"/>
    <x v="3"/>
    <x v="1"/>
    <x v="19"/>
    <n v="91.9"/>
    <n v="18.440000000000001"/>
    <n v="1"/>
    <x v="7"/>
    <x v="0"/>
    <n v="0.20065288356909686"/>
  </r>
  <r>
    <s v="ORD-100712"/>
    <d v="2025-10-14T00:00:00"/>
    <s v="Karen White"/>
    <x v="2"/>
    <x v="4"/>
    <x v="6"/>
    <n v="514.44000000000005"/>
    <n v="61.27"/>
    <n v="4"/>
    <x v="11"/>
    <x v="0"/>
    <n v="0.11910038099681206"/>
  </r>
  <r>
    <s v="ORD-100713"/>
    <d v="2025-01-09T00:00:00"/>
    <s v="Susan Moore"/>
    <x v="0"/>
    <x v="4"/>
    <x v="21"/>
    <n v="900.76"/>
    <n v="224.66"/>
    <n v="4"/>
    <x v="1"/>
    <x v="0"/>
    <n v="0.24941160797548736"/>
  </r>
  <r>
    <s v="ORD-100714"/>
    <d v="2025-06-25T00:00:00"/>
    <s v="Sarah Miller"/>
    <x v="4"/>
    <x v="4"/>
    <x v="6"/>
    <n v="107.92"/>
    <n v="29.52"/>
    <n v="2"/>
    <x v="3"/>
    <x v="0"/>
    <n v="0.27353595255744995"/>
  </r>
  <r>
    <s v="ORD-100715"/>
    <d v="2025-06-07T00:00:00"/>
    <s v="Rita Smith"/>
    <x v="1"/>
    <x v="3"/>
    <x v="20"/>
    <n v="281.82"/>
    <n v="-16.45"/>
    <n v="6"/>
    <x v="3"/>
    <x v="0"/>
    <n v="-5.8370591157476399E-2"/>
  </r>
  <r>
    <s v="ORD-100716"/>
    <d v="2025-09-05T00:00:00"/>
    <s v="Daniel Anderson"/>
    <x v="4"/>
    <x v="0"/>
    <x v="14"/>
    <n v="107.04"/>
    <n v="6.3"/>
    <n v="6"/>
    <x v="10"/>
    <x v="0"/>
    <n v="5.8856502242152463E-2"/>
  </r>
  <r>
    <s v="ORD-100717"/>
    <d v="2025-05-10T00:00:00"/>
    <s v="Marie Allen"/>
    <x v="0"/>
    <x v="4"/>
    <x v="6"/>
    <n v="232.02"/>
    <n v="35.119999999999997"/>
    <n v="1"/>
    <x v="7"/>
    <x v="0"/>
    <n v="0.15136626152917851"/>
  </r>
  <r>
    <s v="ORD-100718"/>
    <d v="2025-04-05T00:00:00"/>
    <s v="Nancy Moore"/>
    <x v="4"/>
    <x v="0"/>
    <x v="3"/>
    <n v="68.5"/>
    <n v="5.07"/>
    <n v="5"/>
    <x v="5"/>
    <x v="0"/>
    <n v="7.4014598540145984E-2"/>
  </r>
  <r>
    <s v="ORD-100719"/>
    <d v="2025-11-10T00:00:00"/>
    <s v="Linda White"/>
    <x v="2"/>
    <x v="0"/>
    <x v="1"/>
    <n v="23.95"/>
    <n v="4.66"/>
    <n v="1"/>
    <x v="0"/>
    <x v="0"/>
    <n v="0.19457202505219207"/>
  </r>
  <r>
    <s v="ORD-100720"/>
    <d v="2025-10-03T00:00:00"/>
    <s v="Dennis Alvarado"/>
    <x v="1"/>
    <x v="3"/>
    <x v="20"/>
    <n v="130.19999999999999"/>
    <n v="16.64"/>
    <n v="3"/>
    <x v="11"/>
    <x v="0"/>
    <n v="0.12780337941628267"/>
  </r>
  <r>
    <s v="ORD-100721"/>
    <d v="2025-02-24T00:00:00"/>
    <s v="Sarah Moore"/>
    <x v="3"/>
    <x v="1"/>
    <x v="9"/>
    <n v="309"/>
    <n v="77.959999999999994"/>
    <n v="2"/>
    <x v="9"/>
    <x v="0"/>
    <n v="0.25229773462783167"/>
  </r>
  <r>
    <s v="ORD-100722"/>
    <d v="2025-08-27T00:00:00"/>
    <s v="Matthew White"/>
    <x v="1"/>
    <x v="2"/>
    <x v="24"/>
    <n v="1727.46"/>
    <n v="350.27"/>
    <n v="6"/>
    <x v="2"/>
    <x v="0"/>
    <n v="0.20276591064337235"/>
  </r>
  <r>
    <s v="ORD-100723"/>
    <d v="2025-09-10T00:00:00"/>
    <s v="Matthew Taylor"/>
    <x v="0"/>
    <x v="2"/>
    <x v="24"/>
    <n v="5277.06"/>
    <n v="820.44"/>
    <n v="6"/>
    <x v="10"/>
    <x v="0"/>
    <n v="0.15547293379268001"/>
  </r>
  <r>
    <s v="ORD-100724"/>
    <d v="2025-05-29T00:00:00"/>
    <s v="Ashley Anderson"/>
    <x v="1"/>
    <x v="3"/>
    <x v="20"/>
    <n v="151.26"/>
    <n v="15.42"/>
    <n v="6"/>
    <x v="7"/>
    <x v="0"/>
    <n v="0.10194367314557716"/>
  </r>
  <r>
    <s v="ORD-100725"/>
    <d v="2025-12-11T00:00:00"/>
    <s v="Matthew Taylor"/>
    <x v="3"/>
    <x v="2"/>
    <x v="8"/>
    <n v="199.26"/>
    <n v="35.950000000000003"/>
    <n v="1"/>
    <x v="8"/>
    <x v="0"/>
    <n v="0.18041754491618991"/>
  </r>
  <r>
    <s v="ORD-100726"/>
    <d v="2025-03-28T00:00:00"/>
    <s v="Kaden Moore"/>
    <x v="1"/>
    <x v="1"/>
    <x v="9"/>
    <n v="242.04"/>
    <n v="64.78"/>
    <n v="4"/>
    <x v="4"/>
    <x v="0"/>
    <n v="0.26764171211370025"/>
  </r>
  <r>
    <s v="ORD-100727"/>
    <d v="2025-05-23T00:00:00"/>
    <s v="Daniel Martin"/>
    <x v="2"/>
    <x v="1"/>
    <x v="16"/>
    <n v="531.05999999999995"/>
    <n v="117.17"/>
    <n v="3"/>
    <x v="7"/>
    <x v="0"/>
    <n v="0.22063420329153016"/>
  </r>
  <r>
    <s v="ORD-100728"/>
    <d v="2025-09-06T00:00:00"/>
    <s v="Richard Davis"/>
    <x v="1"/>
    <x v="4"/>
    <x v="6"/>
    <n v="81.41"/>
    <n v="18.260000000000002"/>
    <n v="1"/>
    <x v="10"/>
    <x v="0"/>
    <n v="0.22429676943864393"/>
  </r>
  <r>
    <s v="ORD-100729"/>
    <d v="2025-03-10T00:00:00"/>
    <s v="Dennis Alvarado"/>
    <x v="4"/>
    <x v="4"/>
    <x v="13"/>
    <n v="186.12"/>
    <n v="26.95"/>
    <n v="6"/>
    <x v="4"/>
    <x v="0"/>
    <n v="0.14479905437352245"/>
  </r>
  <r>
    <s v="ORD-100730"/>
    <d v="2025-06-17T00:00:00"/>
    <s v="Rita Miller"/>
    <x v="2"/>
    <x v="4"/>
    <x v="6"/>
    <n v="1164.6600000000001"/>
    <n v="339.96"/>
    <n v="6"/>
    <x v="3"/>
    <x v="0"/>
    <n v="0.29189634743186849"/>
  </r>
  <r>
    <s v="ORD-100731"/>
    <d v="2025-04-14T00:00:00"/>
    <s v="Patricia Jackson"/>
    <x v="3"/>
    <x v="2"/>
    <x v="4"/>
    <n v="2208.4499999999998"/>
    <n v="-189.81"/>
    <n v="3"/>
    <x v="5"/>
    <x v="0"/>
    <n v="-8.594715750865993E-2"/>
  </r>
  <r>
    <s v="ORD-100732"/>
    <d v="2025-01-17T00:00:00"/>
    <s v="Elizabeth Alvarado"/>
    <x v="3"/>
    <x v="2"/>
    <x v="11"/>
    <n v="1741.2"/>
    <n v="149.02000000000001"/>
    <n v="4"/>
    <x v="1"/>
    <x v="0"/>
    <n v="8.5584654261428902E-2"/>
  </r>
  <r>
    <s v="ORD-100733"/>
    <d v="2025-06-05T00:00:00"/>
    <s v="Mark Johnson"/>
    <x v="3"/>
    <x v="1"/>
    <x v="17"/>
    <n v="890.4"/>
    <n v="225.1"/>
    <n v="6"/>
    <x v="3"/>
    <x v="0"/>
    <n v="0.25280772686433062"/>
  </r>
  <r>
    <s v="ORD-100734"/>
    <d v="2025-09-09T00:00:00"/>
    <s v="Nancy Harris"/>
    <x v="2"/>
    <x v="2"/>
    <x v="11"/>
    <n v="3873.7"/>
    <n v="643.55999999999995"/>
    <n v="5"/>
    <x v="10"/>
    <x v="0"/>
    <n v="0.16613573585977232"/>
  </r>
  <r>
    <s v="ORD-100735"/>
    <d v="2025-09-11T00:00:00"/>
    <s v="Joseph Taylor"/>
    <x v="2"/>
    <x v="4"/>
    <x v="10"/>
    <n v="116.46"/>
    <n v="28.84"/>
    <n v="3"/>
    <x v="10"/>
    <x v="0"/>
    <n v="0.24763867422290917"/>
  </r>
  <r>
    <s v="ORD-100736"/>
    <d v="2025-07-07T00:00:00"/>
    <s v="Jennifer Martin"/>
    <x v="4"/>
    <x v="4"/>
    <x v="10"/>
    <n v="187.6"/>
    <n v="34.950000000000003"/>
    <n v="4"/>
    <x v="6"/>
    <x v="0"/>
    <n v="0.18630063965884863"/>
  </r>
  <r>
    <s v="ORD-100737"/>
    <d v="2025-06-29T00:00:00"/>
    <s v="Marie Brown"/>
    <x v="1"/>
    <x v="0"/>
    <x v="3"/>
    <n v="35.6"/>
    <n v="5.45"/>
    <n v="5"/>
    <x v="3"/>
    <x v="0"/>
    <n v="0.15308988764044942"/>
  </r>
  <r>
    <s v="ORD-100738"/>
    <d v="2025-02-28T00:00:00"/>
    <s v="Michael Johnson"/>
    <x v="4"/>
    <x v="2"/>
    <x v="8"/>
    <n v="2422.7199999999998"/>
    <n v="367.82"/>
    <n v="4"/>
    <x v="9"/>
    <x v="0"/>
    <n v="0.15182109364681021"/>
  </r>
  <r>
    <s v="ORD-100739"/>
    <d v="2025-08-04T00:00:00"/>
    <s v="Robert Zimmerman"/>
    <x v="3"/>
    <x v="2"/>
    <x v="24"/>
    <n v="2122"/>
    <n v="286.07"/>
    <n v="4"/>
    <x v="2"/>
    <x v="0"/>
    <n v="0.13481149858623939"/>
  </r>
  <r>
    <s v="ORD-100740"/>
    <d v="2025-09-08T00:00:00"/>
    <s v="Matthew Smith"/>
    <x v="0"/>
    <x v="2"/>
    <x v="24"/>
    <n v="1137.5"/>
    <n v="161.26"/>
    <n v="2"/>
    <x v="10"/>
    <x v="0"/>
    <n v="0.14176703296703297"/>
  </r>
  <r>
    <s v="ORD-100741"/>
    <d v="2025-09-12T00:00:00"/>
    <s v="Thomas Allen"/>
    <x v="2"/>
    <x v="0"/>
    <x v="3"/>
    <n v="12.43"/>
    <n v="1.69"/>
    <n v="1"/>
    <x v="10"/>
    <x v="0"/>
    <n v="0.13596138374899436"/>
  </r>
  <r>
    <s v="ORD-100742"/>
    <d v="2025-11-16T00:00:00"/>
    <s v="Betty Allen"/>
    <x v="2"/>
    <x v="0"/>
    <x v="3"/>
    <n v="26.86"/>
    <n v="3.26"/>
    <n v="3"/>
    <x v="0"/>
    <x v="0"/>
    <n v="0.12137006701414743"/>
  </r>
  <r>
    <s v="ORD-100743"/>
    <d v="2025-02-09T00:00:00"/>
    <s v="Thomas Miller"/>
    <x v="2"/>
    <x v="4"/>
    <x v="13"/>
    <n v="878.94"/>
    <n v="131.86000000000001"/>
    <n v="6"/>
    <x v="9"/>
    <x v="0"/>
    <n v="0.15002161694768698"/>
  </r>
  <r>
    <s v="ORD-100744"/>
    <d v="2025-11-16T00:00:00"/>
    <s v="Richard Thomas"/>
    <x v="2"/>
    <x v="0"/>
    <x v="14"/>
    <n v="184.09"/>
    <n v="25.13"/>
    <n v="6"/>
    <x v="0"/>
    <x v="0"/>
    <n v="0.13650931609538811"/>
  </r>
  <r>
    <s v="ORD-100745"/>
    <d v="2025-08-28T00:00:00"/>
    <s v="Robert Harris"/>
    <x v="2"/>
    <x v="3"/>
    <x v="20"/>
    <n v="224.8"/>
    <n v="24.5"/>
    <n v="5"/>
    <x v="2"/>
    <x v="0"/>
    <n v="0.10898576512455516"/>
  </r>
  <r>
    <s v="ORD-100746"/>
    <d v="2025-08-25T00:00:00"/>
    <s v="Rita Brown"/>
    <x v="1"/>
    <x v="4"/>
    <x v="10"/>
    <n v="469.24"/>
    <n v="147.83000000000001"/>
    <n v="4"/>
    <x v="2"/>
    <x v="0"/>
    <n v="0.31504134344898133"/>
  </r>
  <r>
    <s v="ORD-100747"/>
    <d v="2025-11-21T00:00:00"/>
    <s v="James Anderson"/>
    <x v="0"/>
    <x v="4"/>
    <x v="21"/>
    <n v="630.64"/>
    <n v="100.66"/>
    <n v="3"/>
    <x v="0"/>
    <x v="0"/>
    <n v="0.15961562856780415"/>
  </r>
  <r>
    <s v="ORD-100748"/>
    <d v="2025-01-15T00:00:00"/>
    <s v="Linda Miller"/>
    <x v="3"/>
    <x v="2"/>
    <x v="11"/>
    <n v="2385.4"/>
    <n v="205.84"/>
    <n v="4"/>
    <x v="1"/>
    <x v="0"/>
    <n v="8.6291607277605431E-2"/>
  </r>
  <r>
    <s v="ORD-100749"/>
    <d v="2025-03-11T00:00:00"/>
    <s v="Dennis Davis"/>
    <x v="0"/>
    <x v="4"/>
    <x v="21"/>
    <n v="1300.92"/>
    <n v="443.54"/>
    <n v="6"/>
    <x v="4"/>
    <x v="0"/>
    <n v="0.34094333241090918"/>
  </r>
  <r>
    <s v="ORD-100750"/>
    <d v="2025-01-11T00:00:00"/>
    <s v="Marie Allen"/>
    <x v="0"/>
    <x v="4"/>
    <x v="6"/>
    <n v="907.08"/>
    <n v="243.02"/>
    <n v="4"/>
    <x v="1"/>
    <x v="0"/>
    <n v="0.26791462715526743"/>
  </r>
  <r>
    <s v="ORD-100751"/>
    <d v="2025-07-23T00:00:00"/>
    <s v="Paul Ruiz"/>
    <x v="1"/>
    <x v="0"/>
    <x v="1"/>
    <n v="18.05"/>
    <n v="3.15"/>
    <n v="1"/>
    <x v="6"/>
    <x v="0"/>
    <n v="0.17451523545706371"/>
  </r>
  <r>
    <s v="ORD-100752"/>
    <d v="2025-09-26T00:00:00"/>
    <s v="Robert Jackson"/>
    <x v="4"/>
    <x v="0"/>
    <x v="14"/>
    <n v="39.69"/>
    <n v="5.46"/>
    <n v="3"/>
    <x v="10"/>
    <x v="0"/>
    <n v="0.13756613756613759"/>
  </r>
  <r>
    <s v="ORD-100753"/>
    <d v="2025-05-01T00:00:00"/>
    <s v="Emily Anderson"/>
    <x v="1"/>
    <x v="0"/>
    <x v="0"/>
    <n v="58.5"/>
    <n v="6.78"/>
    <n v="2"/>
    <x v="7"/>
    <x v="0"/>
    <n v="0.1158974358974359"/>
  </r>
  <r>
    <s v="ORD-100754"/>
    <d v="2025-10-29T00:00:00"/>
    <s v="Marie Jackson"/>
    <x v="2"/>
    <x v="1"/>
    <x v="2"/>
    <n v="600.29999999999995"/>
    <n v="117.04"/>
    <n v="3"/>
    <x v="11"/>
    <x v="0"/>
    <n v="0.19496918207562888"/>
  </r>
  <r>
    <s v="ORD-100755"/>
    <d v="2025-05-23T00:00:00"/>
    <s v="Mark Ruiz"/>
    <x v="0"/>
    <x v="2"/>
    <x v="24"/>
    <n v="174.36"/>
    <n v="42.61"/>
    <n v="3"/>
    <x v="7"/>
    <x v="0"/>
    <n v="0.24437944482679511"/>
  </r>
  <r>
    <s v="ORD-100756"/>
    <d v="2025-12-06T00:00:00"/>
    <s v="Sandra Carpenter"/>
    <x v="1"/>
    <x v="1"/>
    <x v="16"/>
    <n v="907.37"/>
    <n v="254.64"/>
    <n v="3"/>
    <x v="8"/>
    <x v="0"/>
    <n v="0.28063524251407912"/>
  </r>
  <r>
    <s v="ORD-100757"/>
    <d v="2025-10-01T00:00:00"/>
    <s v="Ashley Brown"/>
    <x v="3"/>
    <x v="1"/>
    <x v="16"/>
    <n v="357.87"/>
    <n v="102.8"/>
    <n v="3"/>
    <x v="11"/>
    <x v="0"/>
    <n v="0.28725514851761813"/>
  </r>
  <r>
    <s v="ORD-100758"/>
    <d v="2025-06-02T00:00:00"/>
    <s v="James Johnson"/>
    <x v="3"/>
    <x v="4"/>
    <x v="13"/>
    <n v="86.66"/>
    <n v="10.4"/>
    <n v="1"/>
    <x v="3"/>
    <x v="0"/>
    <n v="0.12000923147934457"/>
  </r>
  <r>
    <s v="ORD-100759"/>
    <d v="2025-09-09T00:00:00"/>
    <s v="Susan Anderson"/>
    <x v="0"/>
    <x v="4"/>
    <x v="6"/>
    <n v="364.32"/>
    <n v="82.55"/>
    <n v="2"/>
    <x v="10"/>
    <x v="0"/>
    <n v="0.22658651734738691"/>
  </r>
  <r>
    <s v="ORD-100760"/>
    <d v="2025-11-05T00:00:00"/>
    <s v="Betty Harris"/>
    <x v="0"/>
    <x v="2"/>
    <x v="8"/>
    <n v="683.35"/>
    <n v="106.18"/>
    <n v="1"/>
    <x v="0"/>
    <x v="0"/>
    <n v="0.15538157605912051"/>
  </r>
  <r>
    <s v="ORD-100761"/>
    <d v="2025-01-02T00:00:00"/>
    <s v="David Smith"/>
    <x v="0"/>
    <x v="1"/>
    <x v="2"/>
    <n v="72.08"/>
    <n v="14.65"/>
    <n v="1"/>
    <x v="1"/>
    <x v="0"/>
    <n v="0.20324639289678137"/>
  </r>
  <r>
    <s v="ORD-100762"/>
    <d v="2025-11-29T00:00:00"/>
    <s v="Daniel Ruiz"/>
    <x v="2"/>
    <x v="4"/>
    <x v="10"/>
    <n v="700.58"/>
    <n v="115.71"/>
    <n v="4"/>
    <x v="0"/>
    <x v="0"/>
    <n v="0.16516315053241598"/>
  </r>
  <r>
    <s v="ORD-100763"/>
    <d v="2025-06-17T00:00:00"/>
    <s v="Sandra Miller"/>
    <x v="1"/>
    <x v="0"/>
    <x v="3"/>
    <n v="29.68"/>
    <n v="3.16"/>
    <n v="2"/>
    <x v="3"/>
    <x v="0"/>
    <n v="0.1064690026954178"/>
  </r>
  <r>
    <s v="ORD-100764"/>
    <d v="2025-10-20T00:00:00"/>
    <s v="Linda Zimmerman"/>
    <x v="4"/>
    <x v="3"/>
    <x v="23"/>
    <n v="105.48"/>
    <n v="11.96"/>
    <n v="6"/>
    <x v="11"/>
    <x v="0"/>
    <n v="0.11338642396662875"/>
  </r>
  <r>
    <s v="ORD-100765"/>
    <d v="2025-05-15T00:00:00"/>
    <s v="Charles Johnson"/>
    <x v="4"/>
    <x v="1"/>
    <x v="16"/>
    <n v="529.25"/>
    <n v="62.35"/>
    <n v="5"/>
    <x v="7"/>
    <x v="0"/>
    <n v="0.11780821917808219"/>
  </r>
  <r>
    <s v="ORD-100766"/>
    <d v="2025-10-18T00:00:00"/>
    <s v="Matthew Zimmerman"/>
    <x v="2"/>
    <x v="1"/>
    <x v="16"/>
    <n v="1098.42"/>
    <n v="159.16"/>
    <n v="6"/>
    <x v="11"/>
    <x v="0"/>
    <n v="0.14489903679831029"/>
  </r>
  <r>
    <s v="ORD-100767"/>
    <d v="2025-05-17T00:00:00"/>
    <s v="Patricia Jackson"/>
    <x v="3"/>
    <x v="0"/>
    <x v="0"/>
    <n v="51.95"/>
    <n v="9.02"/>
    <n v="5"/>
    <x v="7"/>
    <x v="0"/>
    <n v="0.17362848893166505"/>
  </r>
  <r>
    <s v="ORD-100768"/>
    <d v="2025-04-07T00:00:00"/>
    <s v="Elizabeth Johnson"/>
    <x v="3"/>
    <x v="4"/>
    <x v="6"/>
    <n v="733.89"/>
    <n v="116.59"/>
    <n v="3"/>
    <x v="5"/>
    <x v="0"/>
    <n v="0.15886577007453434"/>
  </r>
  <r>
    <s v="ORD-100769"/>
    <d v="2025-05-08T00:00:00"/>
    <s v="Jennifer Martin"/>
    <x v="3"/>
    <x v="0"/>
    <x v="18"/>
    <n v="53.58"/>
    <n v="10.51"/>
    <n v="2"/>
    <x v="7"/>
    <x v="0"/>
    <n v="0.19615528182157521"/>
  </r>
  <r>
    <s v="ORD-100770"/>
    <d v="2025-04-19T00:00:00"/>
    <s v="Charles Taylor"/>
    <x v="3"/>
    <x v="4"/>
    <x v="10"/>
    <n v="46.44"/>
    <n v="5.33"/>
    <n v="1"/>
    <x v="5"/>
    <x v="0"/>
    <n v="0.11477174849267874"/>
  </r>
  <r>
    <s v="ORD-100771"/>
    <d v="2025-05-01T00:00:00"/>
    <s v="Susan Moore"/>
    <x v="2"/>
    <x v="3"/>
    <x v="23"/>
    <n v="276.89999999999998"/>
    <n v="29.58"/>
    <n v="6"/>
    <x v="7"/>
    <x v="0"/>
    <n v="0.10682556879739978"/>
  </r>
  <r>
    <s v="ORD-100772"/>
    <d v="2025-11-14T00:00:00"/>
    <s v="David Miller"/>
    <x v="3"/>
    <x v="4"/>
    <x v="21"/>
    <n v="197.59"/>
    <n v="28.15"/>
    <n v="5"/>
    <x v="0"/>
    <x v="0"/>
    <n v="0.14246672402449514"/>
  </r>
  <r>
    <s v="ORD-100773"/>
    <d v="2025-06-23T00:00:00"/>
    <s v="Mark Thomas"/>
    <x v="1"/>
    <x v="0"/>
    <x v="1"/>
    <n v="34.159999999999997"/>
    <n v="2.31"/>
    <n v="4"/>
    <x v="3"/>
    <x v="0"/>
    <n v="6.7622950819672137E-2"/>
  </r>
  <r>
    <s v="ORD-100774"/>
    <d v="2025-03-07T00:00:00"/>
    <s v="Susan Davis"/>
    <x v="0"/>
    <x v="3"/>
    <x v="7"/>
    <n v="116.13"/>
    <n v="24.88"/>
    <n v="3"/>
    <x v="4"/>
    <x v="0"/>
    <n v="0.21424265908895204"/>
  </r>
  <r>
    <s v="ORD-100775"/>
    <d v="2025-06-10T00:00:00"/>
    <s v="Elizabeth Johnson"/>
    <x v="0"/>
    <x v="4"/>
    <x v="13"/>
    <n v="300.06"/>
    <n v="99.23"/>
    <n v="2"/>
    <x v="3"/>
    <x v="0"/>
    <n v="0.3307005265613544"/>
  </r>
  <r>
    <s v="ORD-100776"/>
    <d v="2025-08-14T00:00:00"/>
    <s v="Marie Smith"/>
    <x v="1"/>
    <x v="0"/>
    <x v="0"/>
    <n v="16.760000000000002"/>
    <n v="1.25"/>
    <n v="1"/>
    <x v="2"/>
    <x v="0"/>
    <n v="7.4582338902147965E-2"/>
  </r>
  <r>
    <s v="ORD-100777"/>
    <d v="2025-03-01T00:00:00"/>
    <s v="Mark Jackson"/>
    <x v="4"/>
    <x v="1"/>
    <x v="9"/>
    <n v="684.24"/>
    <n v="83.82"/>
    <n v="4"/>
    <x v="4"/>
    <x v="0"/>
    <n v="0.12250087688530339"/>
  </r>
  <r>
    <s v="ORD-100778"/>
    <d v="2025-03-17T00:00:00"/>
    <s v="Matthew Moore"/>
    <x v="4"/>
    <x v="0"/>
    <x v="3"/>
    <n v="51.74"/>
    <n v="8.41"/>
    <n v="2"/>
    <x v="4"/>
    <x v="0"/>
    <n v="0.16254348666408969"/>
  </r>
  <r>
    <s v="ORD-100779"/>
    <d v="2025-10-16T00:00:00"/>
    <s v="Mark Martin"/>
    <x v="1"/>
    <x v="2"/>
    <x v="8"/>
    <n v="3497.45"/>
    <n v="387.16"/>
    <n v="5"/>
    <x v="11"/>
    <x v="0"/>
    <n v="0.11069779410713521"/>
  </r>
  <r>
    <s v="ORD-100780"/>
    <d v="2025-05-07T00:00:00"/>
    <s v="Daniel Jackson"/>
    <x v="4"/>
    <x v="3"/>
    <x v="5"/>
    <n v="127.41"/>
    <n v="25.75"/>
    <n v="3"/>
    <x v="7"/>
    <x v="0"/>
    <n v="0.20210344556942156"/>
  </r>
  <r>
    <s v="ORD-100781"/>
    <d v="2025-10-30T00:00:00"/>
    <s v="Emily Alvarado"/>
    <x v="0"/>
    <x v="0"/>
    <x v="14"/>
    <n v="103.08"/>
    <n v="15.35"/>
    <n v="4"/>
    <x v="11"/>
    <x v="0"/>
    <n v="0.14891346526969343"/>
  </r>
  <r>
    <s v="ORD-100782"/>
    <d v="2025-05-18T00:00:00"/>
    <s v="Karen Zimmerman"/>
    <x v="0"/>
    <x v="3"/>
    <x v="23"/>
    <n v="91.48"/>
    <n v="19.190000000000001"/>
    <n v="4"/>
    <x v="7"/>
    <x v="0"/>
    <n v="0.20977262789680806"/>
  </r>
  <r>
    <s v="ORD-100783"/>
    <d v="2025-10-19T00:00:00"/>
    <s v="Rita Smith"/>
    <x v="4"/>
    <x v="4"/>
    <x v="10"/>
    <n v="613.74"/>
    <n v="175.5"/>
    <n v="3"/>
    <x v="11"/>
    <x v="0"/>
    <n v="0.2859517059341089"/>
  </r>
  <r>
    <s v="ORD-100784"/>
    <d v="2025-11-05T00:00:00"/>
    <s v="David Allen"/>
    <x v="3"/>
    <x v="1"/>
    <x v="19"/>
    <n v="268.05"/>
    <n v="35.54"/>
    <n v="4"/>
    <x v="0"/>
    <x v="0"/>
    <n v="0.13258720387987316"/>
  </r>
  <r>
    <s v="ORD-100785"/>
    <d v="2025-05-26T00:00:00"/>
    <s v="Thomas Ruiz"/>
    <x v="4"/>
    <x v="1"/>
    <x v="16"/>
    <n v="1716.6"/>
    <n v="278.12"/>
    <n v="6"/>
    <x v="7"/>
    <x v="0"/>
    <n v="0.16201794244436679"/>
  </r>
  <r>
    <s v="ORD-100786"/>
    <d v="2025-03-09T00:00:00"/>
    <s v="Jennifer Alvarado"/>
    <x v="0"/>
    <x v="2"/>
    <x v="11"/>
    <n v="3205.84"/>
    <n v="516.12"/>
    <n v="4"/>
    <x v="4"/>
    <x v="0"/>
    <n v="0.16099368652209717"/>
  </r>
  <r>
    <s v="ORD-100787"/>
    <d v="2025-08-05T00:00:00"/>
    <s v="Kaden Anderson"/>
    <x v="0"/>
    <x v="4"/>
    <x v="13"/>
    <n v="725.1"/>
    <n v="79.84"/>
    <n v="6"/>
    <x v="2"/>
    <x v="0"/>
    <n v="0.11010895048958765"/>
  </r>
  <r>
    <s v="ORD-100788"/>
    <d v="2025-08-26T00:00:00"/>
    <s v="Nancy Brown"/>
    <x v="1"/>
    <x v="3"/>
    <x v="23"/>
    <n v="243.6"/>
    <n v="27.43"/>
    <n v="6"/>
    <x v="2"/>
    <x v="0"/>
    <n v="0.11260262725779967"/>
  </r>
  <r>
    <s v="ORD-100789"/>
    <d v="2025-02-10T00:00:00"/>
    <s v="Emily Jackson"/>
    <x v="0"/>
    <x v="0"/>
    <x v="0"/>
    <n v="165.42"/>
    <n v="29.15"/>
    <n v="6"/>
    <x v="9"/>
    <x v="0"/>
    <n v="0.17621811147382421"/>
  </r>
  <r>
    <s v="ORD-100790"/>
    <d v="2025-06-01T00:00:00"/>
    <s v="Joseph Carpenter"/>
    <x v="2"/>
    <x v="0"/>
    <x v="14"/>
    <n v="38.450000000000003"/>
    <n v="4.37"/>
    <n v="5"/>
    <x v="3"/>
    <x v="0"/>
    <n v="0.11365409622886866"/>
  </r>
  <r>
    <s v="ORD-100791"/>
    <d v="2025-12-05T00:00:00"/>
    <s v="Betty Martin"/>
    <x v="0"/>
    <x v="1"/>
    <x v="9"/>
    <n v="302.35000000000002"/>
    <n v="75.010000000000005"/>
    <n v="1"/>
    <x v="8"/>
    <x v="0"/>
    <n v="0.24808996196461056"/>
  </r>
  <r>
    <s v="ORD-100792"/>
    <d v="2025-04-04T00:00:00"/>
    <s v="Paul Taylor"/>
    <x v="4"/>
    <x v="0"/>
    <x v="3"/>
    <n v="59.04"/>
    <n v="6.98"/>
    <n v="3"/>
    <x v="5"/>
    <x v="0"/>
    <n v="0.1182249322493225"/>
  </r>
  <r>
    <s v="ORD-100793"/>
    <d v="2025-11-16T00:00:00"/>
    <s v="Sandra Davis"/>
    <x v="0"/>
    <x v="3"/>
    <x v="15"/>
    <n v="40.200000000000003"/>
    <n v="7.66"/>
    <n v="2"/>
    <x v="0"/>
    <x v="0"/>
    <n v="0.19054726368159203"/>
  </r>
  <r>
    <s v="ORD-100794"/>
    <d v="2025-02-24T00:00:00"/>
    <s v="Elizabeth Harris"/>
    <x v="4"/>
    <x v="0"/>
    <x v="14"/>
    <n v="9.2899999999999991"/>
    <n v="1.1299999999999999"/>
    <n v="1"/>
    <x v="9"/>
    <x v="0"/>
    <n v="0.1216361679224973"/>
  </r>
  <r>
    <s v="ORD-100795"/>
    <d v="2025-12-03T00:00:00"/>
    <s v="Betty Thompson"/>
    <x v="3"/>
    <x v="1"/>
    <x v="9"/>
    <n v="1033.04"/>
    <n v="242.79"/>
    <n v="3"/>
    <x v="8"/>
    <x v="0"/>
    <n v="0.23502478122821963"/>
  </r>
  <r>
    <s v="ORD-100796"/>
    <d v="2025-02-14T00:00:00"/>
    <s v="Rita Ruiz"/>
    <x v="4"/>
    <x v="0"/>
    <x v="14"/>
    <n v="175.56"/>
    <n v="31.4"/>
    <n v="6"/>
    <x v="9"/>
    <x v="0"/>
    <n v="0.17885623148781044"/>
  </r>
  <r>
    <s v="ORD-100797"/>
    <d v="2025-11-29T00:00:00"/>
    <s v="Rita Brown"/>
    <x v="3"/>
    <x v="4"/>
    <x v="12"/>
    <n v="118.11"/>
    <n v="16.190000000000001"/>
    <n v="2"/>
    <x v="0"/>
    <x v="0"/>
    <n v="0.13707560748454831"/>
  </r>
  <r>
    <s v="ORD-100798"/>
    <d v="2025-03-01T00:00:00"/>
    <s v="Sarah Ruiz"/>
    <x v="3"/>
    <x v="3"/>
    <x v="20"/>
    <n v="52.29"/>
    <n v="9.82"/>
    <n v="1"/>
    <x v="4"/>
    <x v="0"/>
    <n v="0.18779881430483841"/>
  </r>
  <r>
    <s v="ORD-100799"/>
    <d v="2025-10-19T00:00:00"/>
    <s v="Paul Taylor"/>
    <x v="4"/>
    <x v="1"/>
    <x v="2"/>
    <n v="1798.32"/>
    <n v="335.13"/>
    <n v="6"/>
    <x v="11"/>
    <x v="0"/>
    <n v="0.18635726678233017"/>
  </r>
  <r>
    <s v="ORD-100800"/>
    <d v="2025-09-11T00:00:00"/>
    <s v="Betty Martin"/>
    <x v="2"/>
    <x v="4"/>
    <x v="10"/>
    <n v="134.69"/>
    <n v="29.84"/>
    <n v="1"/>
    <x v="10"/>
    <x v="0"/>
    <n v="0.221545771772217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49C3E1-5799-4F38-8E39-386509C0CB15}" name="PT_RegionSales" cacheId="4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D9:E15" firstHeaderRow="1" firstDataRow="1" firstDataCol="1"/>
  <pivotFields count="12">
    <pivotField compact="0" outline="0" showAll="0"/>
    <pivotField compact="0" numFmtId="164" outline="0" showAll="0"/>
    <pivotField compact="0" outline="0" showAll="0"/>
    <pivotField axis="axisRow" compact="0" outline="0" showAll="0">
      <items count="6">
        <item x="3"/>
        <item x="0"/>
        <item x="2"/>
        <item x="1"/>
        <item x="4"/>
        <item t="default"/>
      </items>
    </pivotField>
    <pivotField compact="0" outline="0" showAll="0">
      <items count="6">
        <item x="4"/>
        <item x="1"/>
        <item x="0"/>
        <item x="2"/>
        <item x="3"/>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2">
        <item x="0"/>
        <item t="default"/>
      </items>
    </pivotField>
    <pivotField compact="0" numFmtId="165" outline="0" showAll="0"/>
  </pivotFields>
  <rowFields count="1">
    <field x="3"/>
  </rowFields>
  <rowItems count="6">
    <i>
      <x/>
    </i>
    <i>
      <x v="1"/>
    </i>
    <i>
      <x v="2"/>
    </i>
    <i>
      <x v="3"/>
    </i>
    <i>
      <x v="4"/>
    </i>
    <i t="grand">
      <x/>
    </i>
  </rowItems>
  <colItems count="1">
    <i/>
  </colItems>
  <dataFields count="1">
    <dataField name="Sum of Sales" fld="6" baseField="0" baseItem="0"/>
  </dataFields>
  <chartFormats count="1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CFBB3B-3B99-45D7-BE8E-68AE1DAB66FB}" name="PT_Top10Products" cacheId="4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G1:H12" firstHeaderRow="1" firstDataRow="1" firstDataCol="1"/>
  <pivotFields count="12">
    <pivotField compact="0" outline="0" showAll="0"/>
    <pivotField compact="0" numFmtId="164" outline="0" showAll="0"/>
    <pivotField compact="0" outline="0" showAll="0"/>
    <pivotField compact="0" outline="0" showAll="0">
      <items count="6">
        <item x="3"/>
        <item x="0"/>
        <item x="2"/>
        <item x="1"/>
        <item x="4"/>
        <item t="default"/>
      </items>
    </pivotField>
    <pivotField compact="0" outline="0" showAll="0">
      <items count="6">
        <item x="4"/>
        <item x="1"/>
        <item x="0"/>
        <item x="2"/>
        <item x="3"/>
        <item t="default"/>
      </items>
    </pivotField>
    <pivotField axis="axisRow" compact="0" outline="0" showAll="0" measureFilter="1" sortType="descending">
      <items count="26">
        <item x="24"/>
        <item x="22"/>
        <item x="2"/>
        <item x="14"/>
        <item x="11"/>
        <item x="4"/>
        <item x="10"/>
        <item x="7"/>
        <item x="15"/>
        <item x="5"/>
        <item x="18"/>
        <item x="3"/>
        <item x="16"/>
        <item x="23"/>
        <item x="0"/>
        <item x="12"/>
        <item x="21"/>
        <item x="9"/>
        <item x="20"/>
        <item x="1"/>
        <item x="17"/>
        <item x="8"/>
        <item x="6"/>
        <item x="19"/>
        <item x="13"/>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items count="2">
        <item x="0"/>
        <item t="default"/>
      </items>
    </pivotField>
    <pivotField compact="0" numFmtId="165" outline="0" showAll="0"/>
  </pivotFields>
  <rowFields count="1">
    <field x="5"/>
  </rowFields>
  <rowItems count="11">
    <i>
      <x v="4"/>
    </i>
    <i>
      <x/>
    </i>
    <i>
      <x v="5"/>
    </i>
    <i>
      <x v="1"/>
    </i>
    <i>
      <x v="21"/>
    </i>
    <i>
      <x v="2"/>
    </i>
    <i>
      <x v="12"/>
    </i>
    <i>
      <x v="22"/>
    </i>
    <i>
      <x v="24"/>
    </i>
    <i>
      <x v="17"/>
    </i>
    <i t="grand">
      <x/>
    </i>
  </rowItems>
  <colItems count="1">
    <i/>
  </colItems>
  <dataFields count="1">
    <dataField name="Sum of Sales" fld="6"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CB466-B369-46E0-A34E-A418C21378E5}" name="PT_CategoryProfit" cacheId="4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1:E7" firstHeaderRow="1" firstDataRow="1" firstDataCol="1"/>
  <pivotFields count="12">
    <pivotField compact="0" outline="0" showAll="0"/>
    <pivotField compact="0" numFmtId="164" outline="0" showAll="0"/>
    <pivotField compact="0" outline="0" showAll="0"/>
    <pivotField compact="0" outline="0" showAll="0">
      <items count="6">
        <item x="3"/>
        <item x="0"/>
        <item x="2"/>
        <item x="1"/>
        <item x="4"/>
        <item t="default"/>
      </items>
    </pivotField>
    <pivotField axis="axisRow" compact="0" outline="0" showAll="0">
      <items count="6">
        <item x="4"/>
        <item x="1"/>
        <item x="0"/>
        <item x="2"/>
        <item x="3"/>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2">
        <item x="0"/>
        <item t="default"/>
      </items>
    </pivotField>
    <pivotField compact="0" numFmtId="165" outline="0" showAll="0"/>
  </pivotFields>
  <rowFields count="1">
    <field x="4"/>
  </rowFields>
  <rowItems count="6">
    <i>
      <x/>
    </i>
    <i>
      <x v="1"/>
    </i>
    <i>
      <x v="2"/>
    </i>
    <i>
      <x v="3"/>
    </i>
    <i>
      <x v="4"/>
    </i>
    <i t="grand">
      <x/>
    </i>
  </rowItems>
  <colItems count="1">
    <i/>
  </colItems>
  <dataFields count="1">
    <dataField name="Sum of Profit" fld="7"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A401AD-7AF7-412F-814A-450CCA4DA0BE}" name="PT_MonthlySales" cacheId="4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B14" firstHeaderRow="1" firstDataRow="1" firstDataCol="1"/>
  <pivotFields count="12">
    <pivotField compact="0" outline="0" showAll="0"/>
    <pivotField compact="0" numFmtId="164" outline="0" showAll="0"/>
    <pivotField compact="0" outline="0" showAll="0"/>
    <pivotField compact="0" outline="0" showAll="0">
      <items count="6">
        <item x="3"/>
        <item x="0"/>
        <item x="2"/>
        <item x="1"/>
        <item x="4"/>
        <item t="default"/>
      </items>
    </pivotField>
    <pivotField compact="0" outline="0" showAll="0">
      <items count="6">
        <item x="4"/>
        <item x="1"/>
        <item x="0"/>
        <item x="2"/>
        <item x="3"/>
        <item t="default"/>
      </items>
    </pivotField>
    <pivotField compact="0" outline="0" showAll="0"/>
    <pivotField dataField="1" compact="0" outline="0" showAll="0"/>
    <pivotField compact="0" outline="0" showAll="0"/>
    <pivotField compact="0" outline="0" showAll="0"/>
    <pivotField axis="axisRow" compact="0" outline="0" showAll="0">
      <items count="13">
        <item x="1"/>
        <item x="9"/>
        <item x="4"/>
        <item x="5"/>
        <item x="7"/>
        <item x="3"/>
        <item x="6"/>
        <item x="2"/>
        <item x="10"/>
        <item x="11"/>
        <item x="0"/>
        <item x="8"/>
        <item t="default"/>
      </items>
    </pivotField>
    <pivotField compact="0" outline="0" showAll="0">
      <items count="2">
        <item x="0"/>
        <item t="default"/>
      </items>
    </pivotField>
    <pivotField compact="0" numFmtId="165" outline="0" showAll="0"/>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CA79E4-A78C-42A2-88D2-B8F5062CE944}" sourceName="Region">
  <pivotTables>
    <pivotTable tabId="2" name="PT_MonthlySales"/>
    <pivotTable tabId="2" name="PT_CategoryProfit"/>
    <pivotTable tabId="2" name="PT_Top10Products"/>
    <pivotTable tabId="2" name="PT_RegionSales"/>
  </pivotTables>
  <data>
    <tabular pivotCacheId="155721934">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CBE00D-B872-478C-B3B8-9972DA9A9283}" sourceName="Category">
  <pivotTables>
    <pivotTable tabId="2" name="PT_MonthlySales"/>
    <pivotTable tabId="2" name="PT_RegionSales"/>
    <pivotTable tabId="2" name="PT_Top10Products"/>
    <pivotTable tabId="2" name="PT_CategoryProfit"/>
  </pivotTables>
  <data>
    <tabular pivotCacheId="155721934">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2EEC13-D7C0-4869-8389-2DC2C9533533}" sourceName="Year">
  <pivotTables>
    <pivotTable tabId="2" name="PT_MonthlySales"/>
    <pivotTable tabId="2" name="PT_CategoryProfit"/>
    <pivotTable tabId="2" name="PT_Top10Products"/>
    <pivotTable tabId="2" name="PT_RegionSales"/>
  </pivotTables>
  <data>
    <tabular pivotCacheId="155721934">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78F81B7-2A6E-4CE3-972B-3C3C4A8A0CBA}" cache="Slicer_Region" caption="Region" rowHeight="228600"/>
  <slicer name="Category 1" xr10:uid="{FAD5F82C-3CCD-4780-BACC-CD95D91A5F69}" cache="Slicer_Category" caption="Category" rowHeight="228600"/>
  <slicer name="Year 1" xr10:uid="{DE52206D-BC7B-454B-BA19-505DC1845128}" cache="Slicer_Year" caption="Yea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L801">
  <autoFilter ref="A1:L801" xr:uid="{00000000-0009-0000-0100-000001000000}"/>
  <tableColumns count="12">
    <tableColumn id="1" xr3:uid="{00000000-0010-0000-0000-000001000000}" name="Order ID"/>
    <tableColumn id="2" xr3:uid="{00000000-0010-0000-0000-000002000000}" name="Order Date"/>
    <tableColumn id="3" xr3:uid="{00000000-0010-0000-0000-000003000000}" name="Customer Name"/>
    <tableColumn id="4" xr3:uid="{00000000-0010-0000-0000-000004000000}" name="Region"/>
    <tableColumn id="5" xr3:uid="{00000000-0010-0000-0000-000005000000}" name="Category"/>
    <tableColumn id="6" xr3:uid="{00000000-0010-0000-0000-000006000000}" name="Product"/>
    <tableColumn id="7" xr3:uid="{00000000-0010-0000-0000-000007000000}" name="Sales"/>
    <tableColumn id="8" xr3:uid="{00000000-0010-0000-0000-000008000000}" name="Profit"/>
    <tableColumn id="9" xr3:uid="{00000000-0010-0000-0000-000009000000}" name="Quantity"/>
    <tableColumn id="10" xr3:uid="{1379698F-881C-463B-9B92-1D8E0157125F}" name="Month" dataDxfId="2">
      <calculatedColumnFormula>TEXT(SalesData[[#This Row],[Order Date]],"mmm")</calculatedColumnFormula>
    </tableColumn>
    <tableColumn id="11" xr3:uid="{510C3864-C00D-42B6-872F-D10DD29D58FE}" name="Year" dataDxfId="1">
      <calculatedColumnFormula>YEAR(SalesData[[#This Row],[Order Date]])</calculatedColumnFormula>
    </tableColumn>
    <tableColumn id="12" xr3:uid="{2807571B-1005-4623-AA4A-348A8BF22FDB}" name="Profit Margin " dataDxfId="0">
      <calculatedColumnFormula>SalesData[[#This Row],[Profit]]/SalesData[[#This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88E18C-D3EF-4FD1-A28F-A0D2CE249F88}">
  <we:reference id="wa200005502" version="1.0.0.13" store="en-US" storeType="OMEX"/>
  <we:alternateReferences>
    <we:reference id="wa200005502" version="1.0.0.13" store="wa200005502" storeType="OMEX"/>
  </we:alternateReferences>
  <we:properties>
    <we:property name="docId" value="&quot;sKgUemGLgXhhIwBdoIpBq&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1"/>
  <sheetViews>
    <sheetView workbookViewId="0">
      <selection activeCell="C3" sqref="C3"/>
    </sheetView>
  </sheetViews>
  <sheetFormatPr defaultRowHeight="14.45"/>
  <cols>
    <col min="1" max="1" width="14" customWidth="1"/>
    <col min="2" max="2" width="12" customWidth="1"/>
    <col min="3" max="3" width="20" customWidth="1"/>
    <col min="4" max="4" width="10" customWidth="1"/>
    <col min="5" max="5" width="16" customWidth="1"/>
    <col min="6" max="6" width="24" customWidth="1"/>
    <col min="7" max="9" width="10" customWidth="1"/>
    <col min="10" max="10" width="29.7109375" bestFit="1" customWidth="1"/>
    <col min="12" max="12" width="15.42578125" bestFit="1" customWidth="1"/>
  </cols>
  <sheetData>
    <row r="1" spans="1:12">
      <c r="A1" s="1" t="s">
        <v>0</v>
      </c>
      <c r="B1" s="1" t="s">
        <v>1</v>
      </c>
      <c r="C1" s="1" t="s">
        <v>2</v>
      </c>
      <c r="D1" s="1" t="s">
        <v>3</v>
      </c>
      <c r="E1" s="1" t="s">
        <v>4</v>
      </c>
      <c r="F1" s="1" t="s">
        <v>5</v>
      </c>
      <c r="G1" s="1" t="s">
        <v>6</v>
      </c>
      <c r="H1" s="1" t="s">
        <v>7</v>
      </c>
      <c r="I1" s="1" t="s">
        <v>8</v>
      </c>
      <c r="J1" t="s">
        <v>9</v>
      </c>
      <c r="K1" t="s">
        <v>10</v>
      </c>
      <c r="L1" t="s">
        <v>11</v>
      </c>
    </row>
    <row r="2" spans="1:12">
      <c r="A2" t="s">
        <v>12</v>
      </c>
      <c r="B2" s="2">
        <v>45985</v>
      </c>
      <c r="C2" t="s">
        <v>13</v>
      </c>
      <c r="D2" t="s">
        <v>14</v>
      </c>
      <c r="E2" t="s">
        <v>15</v>
      </c>
      <c r="F2" t="s">
        <v>16</v>
      </c>
      <c r="G2">
        <v>59.98</v>
      </c>
      <c r="H2">
        <v>7.91</v>
      </c>
      <c r="I2">
        <v>6</v>
      </c>
      <c r="J2" t="str">
        <f>TEXT(SalesData[[#This Row],[Order Date]],"mmm")</f>
        <v>Nov</v>
      </c>
      <c r="K2">
        <f>YEAR(SalesData[[#This Row],[Order Date]])</f>
        <v>2025</v>
      </c>
      <c r="L2" s="3">
        <f>SalesData[[#This Row],[Profit]]/SalesData[[#This Row],[Sales]]</f>
        <v>0.13187729243081028</v>
      </c>
    </row>
    <row r="3" spans="1:12">
      <c r="A3" t="s">
        <v>17</v>
      </c>
      <c r="B3" s="2">
        <v>45674</v>
      </c>
      <c r="C3" t="s">
        <v>18</v>
      </c>
      <c r="D3" t="s">
        <v>19</v>
      </c>
      <c r="E3" t="s">
        <v>15</v>
      </c>
      <c r="F3" t="s">
        <v>20</v>
      </c>
      <c r="G3">
        <v>19.03</v>
      </c>
      <c r="H3">
        <v>3</v>
      </c>
      <c r="I3">
        <v>1</v>
      </c>
      <c r="J3" t="str">
        <f>TEXT(SalesData[[#This Row],[Order Date]],"mmm")</f>
        <v>Jan</v>
      </c>
      <c r="K3">
        <f>YEAR(SalesData[[#This Row],[Order Date]])</f>
        <v>2025</v>
      </c>
      <c r="L3" s="3">
        <f>SalesData[[#This Row],[Profit]]/SalesData[[#This Row],[Sales]]</f>
        <v>0.15764582238570676</v>
      </c>
    </row>
    <row r="4" spans="1:12">
      <c r="A4" t="s">
        <v>21</v>
      </c>
      <c r="B4" s="2">
        <v>45872</v>
      </c>
      <c r="C4" t="s">
        <v>22</v>
      </c>
      <c r="D4" t="s">
        <v>23</v>
      </c>
      <c r="E4" t="s">
        <v>24</v>
      </c>
      <c r="F4" t="s">
        <v>25</v>
      </c>
      <c r="G4">
        <v>500.78</v>
      </c>
      <c r="H4">
        <v>84.16</v>
      </c>
      <c r="I4">
        <v>2</v>
      </c>
      <c r="J4" t="str">
        <f>TEXT(SalesData[[#This Row],[Order Date]],"mmm")</f>
        <v>Aug</v>
      </c>
      <c r="K4">
        <f>YEAR(SalesData[[#This Row],[Order Date]])</f>
        <v>2025</v>
      </c>
      <c r="L4" s="3">
        <f>SalesData[[#This Row],[Profit]]/SalesData[[#This Row],[Sales]]</f>
        <v>0.16805782978553457</v>
      </c>
    </row>
    <row r="5" spans="1:12">
      <c r="A5" t="s">
        <v>26</v>
      </c>
      <c r="B5" s="2">
        <v>45830</v>
      </c>
      <c r="C5" t="s">
        <v>27</v>
      </c>
      <c r="D5" t="s">
        <v>28</v>
      </c>
      <c r="E5" t="s">
        <v>15</v>
      </c>
      <c r="F5" t="s">
        <v>29</v>
      </c>
      <c r="G5">
        <v>58.05</v>
      </c>
      <c r="H5">
        <v>3.28</v>
      </c>
      <c r="I5">
        <v>5</v>
      </c>
      <c r="J5" t="str">
        <f>TEXT(SalesData[[#This Row],[Order Date]],"mmm")</f>
        <v>Jun</v>
      </c>
      <c r="K5">
        <f>YEAR(SalesData[[#This Row],[Order Date]])</f>
        <v>2025</v>
      </c>
      <c r="L5" s="3">
        <f>SalesData[[#This Row],[Profit]]/SalesData[[#This Row],[Sales]]</f>
        <v>5.6503014642549525E-2</v>
      </c>
    </row>
    <row r="6" spans="1:12">
      <c r="A6" t="s">
        <v>30</v>
      </c>
      <c r="B6" s="2">
        <v>45721</v>
      </c>
      <c r="C6" t="s">
        <v>31</v>
      </c>
      <c r="D6" t="s">
        <v>32</v>
      </c>
      <c r="E6" t="s">
        <v>33</v>
      </c>
      <c r="F6" t="s">
        <v>34</v>
      </c>
      <c r="G6">
        <v>1609.56</v>
      </c>
      <c r="H6">
        <v>321.55</v>
      </c>
      <c r="I6">
        <v>3</v>
      </c>
      <c r="J6" t="str">
        <f>TEXT(SalesData[[#This Row],[Order Date]],"mmm")</f>
        <v>Mar</v>
      </c>
      <c r="K6">
        <f>YEAR(SalesData[[#This Row],[Order Date]])</f>
        <v>2025</v>
      </c>
      <c r="L6" s="3">
        <f>SalesData[[#This Row],[Profit]]/SalesData[[#This Row],[Sales]]</f>
        <v>0.19977509381445863</v>
      </c>
    </row>
    <row r="7" spans="1:12">
      <c r="A7" t="s">
        <v>35</v>
      </c>
      <c r="B7" s="2">
        <v>45774</v>
      </c>
      <c r="C7" t="s">
        <v>36</v>
      </c>
      <c r="D7" t="s">
        <v>32</v>
      </c>
      <c r="E7" t="s">
        <v>37</v>
      </c>
      <c r="F7" t="s">
        <v>38</v>
      </c>
      <c r="G7">
        <v>81.16</v>
      </c>
      <c r="H7">
        <v>15.85</v>
      </c>
      <c r="I7">
        <v>4</v>
      </c>
      <c r="J7" t="str">
        <f>TEXT(SalesData[[#This Row],[Order Date]],"mmm")</f>
        <v>Apr</v>
      </c>
      <c r="K7">
        <f>YEAR(SalesData[[#This Row],[Order Date]])</f>
        <v>2025</v>
      </c>
      <c r="L7" s="3">
        <f>SalesData[[#This Row],[Profit]]/SalesData[[#This Row],[Sales]]</f>
        <v>0.19529324790537211</v>
      </c>
    </row>
    <row r="8" spans="1:12">
      <c r="A8" t="s">
        <v>39</v>
      </c>
      <c r="B8" s="2">
        <v>45847</v>
      </c>
      <c r="C8" t="s">
        <v>40</v>
      </c>
      <c r="D8" t="s">
        <v>14</v>
      </c>
      <c r="E8" t="s">
        <v>41</v>
      </c>
      <c r="F8" t="s">
        <v>42</v>
      </c>
      <c r="G8">
        <v>839.35</v>
      </c>
      <c r="H8">
        <v>196.02</v>
      </c>
      <c r="I8">
        <v>5</v>
      </c>
      <c r="J8" t="str">
        <f>TEXT(SalesData[[#This Row],[Order Date]],"mmm")</f>
        <v>Jul</v>
      </c>
      <c r="K8">
        <f>YEAR(SalesData[[#This Row],[Order Date]])</f>
        <v>2025</v>
      </c>
      <c r="L8" s="3">
        <f>SalesData[[#This Row],[Profit]]/SalesData[[#This Row],[Sales]]</f>
        <v>0.23353785667480789</v>
      </c>
    </row>
    <row r="9" spans="1:12">
      <c r="A9" t="s">
        <v>43</v>
      </c>
      <c r="B9" s="2">
        <v>45894</v>
      </c>
      <c r="C9" t="s">
        <v>44</v>
      </c>
      <c r="D9" t="s">
        <v>23</v>
      </c>
      <c r="E9" t="s">
        <v>15</v>
      </c>
      <c r="F9" t="s">
        <v>29</v>
      </c>
      <c r="G9">
        <v>10.73</v>
      </c>
      <c r="H9">
        <v>0.59</v>
      </c>
      <c r="I9">
        <v>1</v>
      </c>
      <c r="J9" t="str">
        <f>TEXT(SalesData[[#This Row],[Order Date]],"mmm")</f>
        <v>Aug</v>
      </c>
      <c r="K9">
        <f>YEAR(SalesData[[#This Row],[Order Date]])</f>
        <v>2025</v>
      </c>
      <c r="L9" s="3">
        <f>SalesData[[#This Row],[Profit]]/SalesData[[#This Row],[Sales]]</f>
        <v>5.498602050326188E-2</v>
      </c>
    </row>
    <row r="10" spans="1:12">
      <c r="A10" t="s">
        <v>45</v>
      </c>
      <c r="B10" s="2">
        <v>45795</v>
      </c>
      <c r="C10" t="s">
        <v>46</v>
      </c>
      <c r="D10" t="s">
        <v>23</v>
      </c>
      <c r="E10" t="s">
        <v>37</v>
      </c>
      <c r="F10" t="s">
        <v>47</v>
      </c>
      <c r="G10">
        <v>82.1</v>
      </c>
      <c r="H10">
        <v>13.08</v>
      </c>
      <c r="I10">
        <v>2</v>
      </c>
      <c r="J10" t="str">
        <f>TEXT(SalesData[[#This Row],[Order Date]],"mmm")</f>
        <v>May</v>
      </c>
      <c r="K10">
        <f>YEAR(SalesData[[#This Row],[Order Date]])</f>
        <v>2025</v>
      </c>
      <c r="L10" s="3">
        <f>SalesData[[#This Row],[Profit]]/SalesData[[#This Row],[Sales]]</f>
        <v>0.15931790499390988</v>
      </c>
    </row>
    <row r="11" spans="1:12">
      <c r="A11" t="s">
        <v>48</v>
      </c>
      <c r="B11" s="2">
        <v>45892</v>
      </c>
      <c r="C11" t="s">
        <v>49</v>
      </c>
      <c r="D11" t="s">
        <v>19</v>
      </c>
      <c r="E11" t="s">
        <v>15</v>
      </c>
      <c r="F11" t="s">
        <v>20</v>
      </c>
      <c r="G11">
        <v>57.85</v>
      </c>
      <c r="H11">
        <v>7.97</v>
      </c>
      <c r="I11">
        <v>5</v>
      </c>
      <c r="J11" t="str">
        <f>TEXT(SalesData[[#This Row],[Order Date]],"mmm")</f>
        <v>Aug</v>
      </c>
      <c r="K11">
        <f>YEAR(SalesData[[#This Row],[Order Date]])</f>
        <v>2025</v>
      </c>
      <c r="L11" s="3">
        <f>SalesData[[#This Row],[Profit]]/SalesData[[#This Row],[Sales]]</f>
        <v>0.13777009507346585</v>
      </c>
    </row>
    <row r="12" spans="1:12">
      <c r="A12" t="s">
        <v>50</v>
      </c>
      <c r="B12" s="2">
        <v>45862</v>
      </c>
      <c r="C12" t="s">
        <v>51</v>
      </c>
      <c r="D12" t="s">
        <v>19</v>
      </c>
      <c r="E12" t="s">
        <v>33</v>
      </c>
      <c r="F12" t="s">
        <v>52</v>
      </c>
      <c r="G12">
        <v>780.55</v>
      </c>
      <c r="H12">
        <v>82.73</v>
      </c>
      <c r="I12">
        <v>1</v>
      </c>
      <c r="J12" t="str">
        <f>TEXT(SalesData[[#This Row],[Order Date]],"mmm")</f>
        <v>Jul</v>
      </c>
      <c r="K12">
        <f>YEAR(SalesData[[#This Row],[Order Date]])</f>
        <v>2025</v>
      </c>
      <c r="L12" s="3">
        <f>SalesData[[#This Row],[Profit]]/SalesData[[#This Row],[Sales]]</f>
        <v>0.10598936647235925</v>
      </c>
    </row>
    <row r="13" spans="1:12">
      <c r="A13" t="s">
        <v>53</v>
      </c>
      <c r="B13" s="2">
        <v>46006</v>
      </c>
      <c r="C13" t="s">
        <v>54</v>
      </c>
      <c r="D13" t="s">
        <v>32</v>
      </c>
      <c r="E13" t="s">
        <v>24</v>
      </c>
      <c r="F13" t="s">
        <v>55</v>
      </c>
      <c r="G13">
        <v>1083.06</v>
      </c>
      <c r="H13">
        <v>-147.38</v>
      </c>
      <c r="I13">
        <v>4</v>
      </c>
      <c r="J13" t="str">
        <f>TEXT(SalesData[[#This Row],[Order Date]],"mmm")</f>
        <v>Dec</v>
      </c>
      <c r="K13">
        <f>YEAR(SalesData[[#This Row],[Order Date]])</f>
        <v>2025</v>
      </c>
      <c r="L13" s="3">
        <f>SalesData[[#This Row],[Profit]]/SalesData[[#This Row],[Sales]]</f>
        <v>-0.13607741030044504</v>
      </c>
    </row>
    <row r="14" spans="1:12">
      <c r="A14" t="s">
        <v>56</v>
      </c>
      <c r="B14" s="2">
        <v>45716</v>
      </c>
      <c r="C14" t="s">
        <v>57</v>
      </c>
      <c r="D14" t="s">
        <v>14</v>
      </c>
      <c r="E14" t="s">
        <v>41</v>
      </c>
      <c r="F14" t="s">
        <v>58</v>
      </c>
      <c r="G14">
        <v>91.04</v>
      </c>
      <c r="H14">
        <v>-6.35</v>
      </c>
      <c r="I14">
        <v>1</v>
      </c>
      <c r="J14" t="str">
        <f>TEXT(SalesData[[#This Row],[Order Date]],"mmm")</f>
        <v>Feb</v>
      </c>
      <c r="K14">
        <f>YEAR(SalesData[[#This Row],[Order Date]])</f>
        <v>2025</v>
      </c>
      <c r="L14" s="3">
        <f>SalesData[[#This Row],[Profit]]/SalesData[[#This Row],[Sales]]</f>
        <v>-6.9749560632688917E-2</v>
      </c>
    </row>
    <row r="15" spans="1:12">
      <c r="A15" t="s">
        <v>59</v>
      </c>
      <c r="B15" s="2">
        <v>45792</v>
      </c>
      <c r="C15" t="s">
        <v>60</v>
      </c>
      <c r="D15" t="s">
        <v>23</v>
      </c>
      <c r="E15" t="s">
        <v>37</v>
      </c>
      <c r="F15" t="s">
        <v>47</v>
      </c>
      <c r="G15">
        <v>197.52</v>
      </c>
      <c r="H15">
        <v>25.65</v>
      </c>
      <c r="I15">
        <v>6</v>
      </c>
      <c r="J15" t="str">
        <f>TEXT(SalesData[[#This Row],[Order Date]],"mmm")</f>
        <v>May</v>
      </c>
      <c r="K15">
        <f>YEAR(SalesData[[#This Row],[Order Date]])</f>
        <v>2025</v>
      </c>
      <c r="L15" s="3">
        <f>SalesData[[#This Row],[Profit]]/SalesData[[#This Row],[Sales]]</f>
        <v>0.12986026731470229</v>
      </c>
    </row>
    <row r="16" spans="1:12">
      <c r="A16" t="s">
        <v>61</v>
      </c>
      <c r="B16" s="2">
        <v>45740</v>
      </c>
      <c r="C16" t="s">
        <v>62</v>
      </c>
      <c r="D16" t="s">
        <v>32</v>
      </c>
      <c r="E16" t="s">
        <v>33</v>
      </c>
      <c r="F16" t="s">
        <v>63</v>
      </c>
      <c r="G16">
        <v>136.21</v>
      </c>
      <c r="H16">
        <v>19.3</v>
      </c>
      <c r="I16">
        <v>1</v>
      </c>
      <c r="J16" t="str">
        <f>TEXT(SalesData[[#This Row],[Order Date]],"mmm")</f>
        <v>Mar</v>
      </c>
      <c r="K16">
        <f>YEAR(SalesData[[#This Row],[Order Date]])</f>
        <v>2025</v>
      </c>
      <c r="L16" s="3">
        <f>SalesData[[#This Row],[Profit]]/SalesData[[#This Row],[Sales]]</f>
        <v>0.14169297408413478</v>
      </c>
    </row>
    <row r="17" spans="1:12">
      <c r="A17" t="s">
        <v>64</v>
      </c>
      <c r="B17" s="2">
        <v>45815</v>
      </c>
      <c r="C17" t="s">
        <v>65</v>
      </c>
      <c r="D17" t="s">
        <v>19</v>
      </c>
      <c r="E17" t="s">
        <v>37</v>
      </c>
      <c r="F17" t="s">
        <v>38</v>
      </c>
      <c r="G17">
        <v>45.25</v>
      </c>
      <c r="H17">
        <v>10.06</v>
      </c>
      <c r="I17">
        <v>1</v>
      </c>
      <c r="J17" t="str">
        <f>TEXT(SalesData[[#This Row],[Order Date]],"mmm")</f>
        <v>Jun</v>
      </c>
      <c r="K17">
        <f>YEAR(SalesData[[#This Row],[Order Date]])</f>
        <v>2025</v>
      </c>
      <c r="L17" s="3">
        <f>SalesData[[#This Row],[Profit]]/SalesData[[#This Row],[Sales]]</f>
        <v>0.22232044198895029</v>
      </c>
    </row>
    <row r="18" spans="1:12">
      <c r="A18" t="s">
        <v>66</v>
      </c>
      <c r="B18" s="2">
        <v>45930</v>
      </c>
      <c r="C18" t="s">
        <v>67</v>
      </c>
      <c r="D18" t="s">
        <v>19</v>
      </c>
      <c r="E18" t="s">
        <v>41</v>
      </c>
      <c r="F18" t="s">
        <v>68</v>
      </c>
      <c r="G18">
        <v>169.28</v>
      </c>
      <c r="H18">
        <v>53.85</v>
      </c>
      <c r="I18">
        <v>2</v>
      </c>
      <c r="J18" t="str">
        <f>TEXT(SalesData[[#This Row],[Order Date]],"mmm")</f>
        <v>Sep</v>
      </c>
      <c r="K18">
        <f>YEAR(SalesData[[#This Row],[Order Date]])</f>
        <v>2025</v>
      </c>
      <c r="L18" s="3">
        <f>SalesData[[#This Row],[Profit]]/SalesData[[#This Row],[Sales]]</f>
        <v>0.31811200378071836</v>
      </c>
    </row>
    <row r="19" spans="1:12">
      <c r="A19" t="s">
        <v>69</v>
      </c>
      <c r="B19" s="2">
        <v>45766</v>
      </c>
      <c r="C19" t="s">
        <v>70</v>
      </c>
      <c r="D19" t="s">
        <v>19</v>
      </c>
      <c r="E19" t="s">
        <v>41</v>
      </c>
      <c r="F19" t="s">
        <v>71</v>
      </c>
      <c r="G19">
        <v>1027.32</v>
      </c>
      <c r="H19">
        <v>215.25</v>
      </c>
      <c r="I19">
        <v>6</v>
      </c>
      <c r="J19" t="str">
        <f>TEXT(SalesData[[#This Row],[Order Date]],"mmm")</f>
        <v>Apr</v>
      </c>
      <c r="K19">
        <f>YEAR(SalesData[[#This Row],[Order Date]])</f>
        <v>2025</v>
      </c>
      <c r="L19" s="3">
        <f>SalesData[[#This Row],[Profit]]/SalesData[[#This Row],[Sales]]</f>
        <v>0.20952575633687653</v>
      </c>
    </row>
    <row r="20" spans="1:12">
      <c r="A20" t="s">
        <v>72</v>
      </c>
      <c r="B20" s="2">
        <v>45719</v>
      </c>
      <c r="C20" t="s">
        <v>73</v>
      </c>
      <c r="D20" t="s">
        <v>32</v>
      </c>
      <c r="E20" t="s">
        <v>24</v>
      </c>
      <c r="F20" t="s">
        <v>55</v>
      </c>
      <c r="G20">
        <v>479.7</v>
      </c>
      <c r="H20">
        <v>69.099999999999994</v>
      </c>
      <c r="I20">
        <v>5</v>
      </c>
      <c r="J20" t="str">
        <f>TEXT(SalesData[[#This Row],[Order Date]],"mmm")</f>
        <v>Mar</v>
      </c>
      <c r="K20">
        <f>YEAR(SalesData[[#This Row],[Order Date]])</f>
        <v>2025</v>
      </c>
      <c r="L20" s="3">
        <f>SalesData[[#This Row],[Profit]]/SalesData[[#This Row],[Sales]]</f>
        <v>0.14404836356055867</v>
      </c>
    </row>
    <row r="21" spans="1:12">
      <c r="A21" t="s">
        <v>74</v>
      </c>
      <c r="B21" s="2">
        <v>45981</v>
      </c>
      <c r="C21" t="s">
        <v>75</v>
      </c>
      <c r="D21" t="s">
        <v>32</v>
      </c>
      <c r="E21" t="s">
        <v>37</v>
      </c>
      <c r="F21" t="s">
        <v>47</v>
      </c>
      <c r="G21">
        <v>39.39</v>
      </c>
      <c r="H21">
        <v>6.81</v>
      </c>
      <c r="I21">
        <v>1</v>
      </c>
      <c r="J21" t="str">
        <f>TEXT(SalesData[[#This Row],[Order Date]],"mmm")</f>
        <v>Nov</v>
      </c>
      <c r="K21">
        <f>YEAR(SalesData[[#This Row],[Order Date]])</f>
        <v>2025</v>
      </c>
      <c r="L21" s="3">
        <f>SalesData[[#This Row],[Profit]]/SalesData[[#This Row],[Sales]]</f>
        <v>0.17288651942117286</v>
      </c>
    </row>
    <row r="22" spans="1:12">
      <c r="A22" t="s">
        <v>76</v>
      </c>
      <c r="B22" s="2">
        <v>45950</v>
      </c>
      <c r="C22" t="s">
        <v>77</v>
      </c>
      <c r="D22" t="s">
        <v>19</v>
      </c>
      <c r="E22" t="s">
        <v>41</v>
      </c>
      <c r="F22" t="s">
        <v>71</v>
      </c>
      <c r="G22">
        <v>92.44</v>
      </c>
      <c r="H22">
        <v>24.47</v>
      </c>
      <c r="I22">
        <v>2</v>
      </c>
      <c r="J22" t="str">
        <f>TEXT(SalesData[[#This Row],[Order Date]],"mmm")</f>
        <v>Oct</v>
      </c>
      <c r="K22">
        <f>YEAR(SalesData[[#This Row],[Order Date]])</f>
        <v>2025</v>
      </c>
      <c r="L22" s="3">
        <f>SalesData[[#This Row],[Profit]]/SalesData[[#This Row],[Sales]]</f>
        <v>0.26471224578104718</v>
      </c>
    </row>
    <row r="23" spans="1:12">
      <c r="A23" t="s">
        <v>78</v>
      </c>
      <c r="B23" s="2">
        <v>45868</v>
      </c>
      <c r="C23" t="s">
        <v>79</v>
      </c>
      <c r="D23" t="s">
        <v>32</v>
      </c>
      <c r="E23" t="s">
        <v>15</v>
      </c>
      <c r="F23" t="s">
        <v>29</v>
      </c>
      <c r="G23">
        <v>11.22</v>
      </c>
      <c r="H23">
        <v>0.88</v>
      </c>
      <c r="I23">
        <v>1</v>
      </c>
      <c r="J23" t="str">
        <f>TEXT(SalesData[[#This Row],[Order Date]],"mmm")</f>
        <v>Jul</v>
      </c>
      <c r="K23">
        <f>YEAR(SalesData[[#This Row],[Order Date]])</f>
        <v>2025</v>
      </c>
      <c r="L23" s="3">
        <f>SalesData[[#This Row],[Profit]]/SalesData[[#This Row],[Sales]]</f>
        <v>7.8431372549019607E-2</v>
      </c>
    </row>
    <row r="24" spans="1:12">
      <c r="A24" t="s">
        <v>80</v>
      </c>
      <c r="B24" s="2">
        <v>45874</v>
      </c>
      <c r="C24" t="s">
        <v>81</v>
      </c>
      <c r="D24" t="s">
        <v>28</v>
      </c>
      <c r="E24" t="s">
        <v>15</v>
      </c>
      <c r="F24" t="s">
        <v>82</v>
      </c>
      <c r="G24">
        <v>100.8</v>
      </c>
      <c r="H24">
        <v>17.98</v>
      </c>
      <c r="I24">
        <v>4</v>
      </c>
      <c r="J24" t="str">
        <f>TEXT(SalesData[[#This Row],[Order Date]],"mmm")</f>
        <v>Aug</v>
      </c>
      <c r="K24">
        <f>YEAR(SalesData[[#This Row],[Order Date]])</f>
        <v>2025</v>
      </c>
      <c r="L24" s="3">
        <f>SalesData[[#This Row],[Profit]]/SalesData[[#This Row],[Sales]]</f>
        <v>0.17837301587301588</v>
      </c>
    </row>
    <row r="25" spans="1:12">
      <c r="A25" t="s">
        <v>83</v>
      </c>
      <c r="B25" s="2">
        <v>45991</v>
      </c>
      <c r="C25" t="s">
        <v>84</v>
      </c>
      <c r="D25" t="s">
        <v>32</v>
      </c>
      <c r="E25" t="s">
        <v>37</v>
      </c>
      <c r="F25" t="s">
        <v>85</v>
      </c>
      <c r="G25">
        <v>68.069999999999993</v>
      </c>
      <c r="H25">
        <v>15.64</v>
      </c>
      <c r="I25">
        <v>2</v>
      </c>
      <c r="J25" t="str">
        <f>TEXT(SalesData[[#This Row],[Order Date]],"mmm")</f>
        <v>Nov</v>
      </c>
      <c r="K25">
        <f>YEAR(SalesData[[#This Row],[Order Date]])</f>
        <v>2025</v>
      </c>
      <c r="L25" s="3">
        <f>SalesData[[#This Row],[Profit]]/SalesData[[#This Row],[Sales]]</f>
        <v>0.22976347877185255</v>
      </c>
    </row>
    <row r="26" spans="1:12">
      <c r="A26" t="s">
        <v>86</v>
      </c>
      <c r="B26" s="2">
        <v>45742</v>
      </c>
      <c r="C26" t="s">
        <v>87</v>
      </c>
      <c r="D26" t="s">
        <v>28</v>
      </c>
      <c r="E26" t="s">
        <v>24</v>
      </c>
      <c r="F26" t="s">
        <v>88</v>
      </c>
      <c r="G26">
        <v>478.77</v>
      </c>
      <c r="H26">
        <v>139.54</v>
      </c>
      <c r="I26">
        <v>3</v>
      </c>
      <c r="J26" t="str">
        <f>TEXT(SalesData[[#This Row],[Order Date]],"mmm")</f>
        <v>Mar</v>
      </c>
      <c r="K26">
        <f>YEAR(SalesData[[#This Row],[Order Date]])</f>
        <v>2025</v>
      </c>
      <c r="L26" s="3">
        <f>SalesData[[#This Row],[Profit]]/SalesData[[#This Row],[Sales]]</f>
        <v>0.29145518725066316</v>
      </c>
    </row>
    <row r="27" spans="1:12">
      <c r="A27" t="s">
        <v>89</v>
      </c>
      <c r="B27" s="2">
        <v>45942</v>
      </c>
      <c r="C27" t="s">
        <v>90</v>
      </c>
      <c r="D27" t="s">
        <v>19</v>
      </c>
      <c r="E27" t="s">
        <v>15</v>
      </c>
      <c r="F27" t="s">
        <v>16</v>
      </c>
      <c r="G27">
        <v>19.48</v>
      </c>
      <c r="H27">
        <v>2.56</v>
      </c>
      <c r="I27">
        <v>1</v>
      </c>
      <c r="J27" t="str">
        <f>TEXT(SalesData[[#This Row],[Order Date]],"mmm")</f>
        <v>Oct</v>
      </c>
      <c r="K27">
        <f>YEAR(SalesData[[#This Row],[Order Date]])</f>
        <v>2025</v>
      </c>
      <c r="L27" s="3">
        <f>SalesData[[#This Row],[Profit]]/SalesData[[#This Row],[Sales]]</f>
        <v>0.13141683778234087</v>
      </c>
    </row>
    <row r="28" spans="1:12">
      <c r="A28" t="s">
        <v>91</v>
      </c>
      <c r="B28" s="2">
        <v>45687</v>
      </c>
      <c r="C28" t="s">
        <v>92</v>
      </c>
      <c r="D28" t="s">
        <v>28</v>
      </c>
      <c r="E28" t="s">
        <v>33</v>
      </c>
      <c r="F28" t="s">
        <v>34</v>
      </c>
      <c r="G28">
        <v>177.84</v>
      </c>
      <c r="H28">
        <v>29.58</v>
      </c>
      <c r="I28">
        <v>2</v>
      </c>
      <c r="J28" t="str">
        <f>TEXT(SalesData[[#This Row],[Order Date]],"mmm")</f>
        <v>Jan</v>
      </c>
      <c r="K28">
        <f>YEAR(SalesData[[#This Row],[Order Date]])</f>
        <v>2025</v>
      </c>
      <c r="L28" s="3">
        <f>SalesData[[#This Row],[Profit]]/SalesData[[#This Row],[Sales]]</f>
        <v>0.16632928475033737</v>
      </c>
    </row>
    <row r="29" spans="1:12">
      <c r="A29" t="s">
        <v>93</v>
      </c>
      <c r="B29" s="2">
        <v>45693</v>
      </c>
      <c r="C29" t="s">
        <v>94</v>
      </c>
      <c r="D29" t="s">
        <v>19</v>
      </c>
      <c r="E29" t="s">
        <v>24</v>
      </c>
      <c r="F29" t="s">
        <v>55</v>
      </c>
      <c r="G29">
        <v>422.08</v>
      </c>
      <c r="H29">
        <v>45.56</v>
      </c>
      <c r="I29">
        <v>2</v>
      </c>
      <c r="J29" t="str">
        <f>TEXT(SalesData[[#This Row],[Order Date]],"mmm")</f>
        <v>Feb</v>
      </c>
      <c r="K29">
        <f>YEAR(SalesData[[#This Row],[Order Date]])</f>
        <v>2025</v>
      </c>
      <c r="L29" s="3">
        <f>SalesData[[#This Row],[Profit]]/SalesData[[#This Row],[Sales]]</f>
        <v>0.10794162244124338</v>
      </c>
    </row>
    <row r="30" spans="1:12">
      <c r="A30" t="s">
        <v>95</v>
      </c>
      <c r="B30" s="2">
        <v>45994</v>
      </c>
      <c r="C30" t="s">
        <v>96</v>
      </c>
      <c r="D30" t="s">
        <v>23</v>
      </c>
      <c r="E30" t="s">
        <v>24</v>
      </c>
      <c r="F30" t="s">
        <v>97</v>
      </c>
      <c r="G30">
        <v>575.65</v>
      </c>
      <c r="H30">
        <v>88.15</v>
      </c>
      <c r="I30">
        <v>2</v>
      </c>
      <c r="J30" t="str">
        <f>TEXT(SalesData[[#This Row],[Order Date]],"mmm")</f>
        <v>Dec</v>
      </c>
      <c r="K30">
        <f>YEAR(SalesData[[#This Row],[Order Date]])</f>
        <v>2025</v>
      </c>
      <c r="L30" s="3">
        <f>SalesData[[#This Row],[Profit]]/SalesData[[#This Row],[Sales]]</f>
        <v>0.15313124294276037</v>
      </c>
    </row>
    <row r="31" spans="1:12">
      <c r="A31" t="s">
        <v>98</v>
      </c>
      <c r="B31" s="2">
        <v>45988</v>
      </c>
      <c r="C31" t="s">
        <v>99</v>
      </c>
      <c r="D31" t="s">
        <v>14</v>
      </c>
      <c r="E31" t="s">
        <v>37</v>
      </c>
      <c r="F31" t="s">
        <v>38</v>
      </c>
      <c r="G31">
        <v>42.28</v>
      </c>
      <c r="H31">
        <v>10.55</v>
      </c>
      <c r="I31">
        <v>1</v>
      </c>
      <c r="J31" t="str">
        <f>TEXT(SalesData[[#This Row],[Order Date]],"mmm")</f>
        <v>Nov</v>
      </c>
      <c r="K31">
        <f>YEAR(SalesData[[#This Row],[Order Date]])</f>
        <v>2025</v>
      </c>
      <c r="L31" s="3">
        <f>SalesData[[#This Row],[Profit]]/SalesData[[#This Row],[Sales]]</f>
        <v>0.24952696310312206</v>
      </c>
    </row>
    <row r="32" spans="1:12">
      <c r="A32" t="s">
        <v>100</v>
      </c>
      <c r="B32" s="2">
        <v>45767</v>
      </c>
      <c r="C32" t="s">
        <v>101</v>
      </c>
      <c r="D32" t="s">
        <v>19</v>
      </c>
      <c r="E32" t="s">
        <v>37</v>
      </c>
      <c r="F32" t="s">
        <v>38</v>
      </c>
      <c r="G32">
        <v>50.64</v>
      </c>
      <c r="H32">
        <v>6.26</v>
      </c>
      <c r="I32">
        <v>2</v>
      </c>
      <c r="J32" t="str">
        <f>TEXT(SalesData[[#This Row],[Order Date]],"mmm")</f>
        <v>Apr</v>
      </c>
      <c r="K32">
        <f>YEAR(SalesData[[#This Row],[Order Date]])</f>
        <v>2025</v>
      </c>
      <c r="L32" s="3">
        <f>SalesData[[#This Row],[Profit]]/SalesData[[#This Row],[Sales]]</f>
        <v>0.12361769352290679</v>
      </c>
    </row>
    <row r="33" spans="1:12">
      <c r="A33" t="s">
        <v>102</v>
      </c>
      <c r="B33" s="2">
        <v>46018</v>
      </c>
      <c r="C33" t="s">
        <v>103</v>
      </c>
      <c r="D33" t="s">
        <v>23</v>
      </c>
      <c r="E33" t="s">
        <v>15</v>
      </c>
      <c r="F33" t="s">
        <v>20</v>
      </c>
      <c r="G33">
        <v>95.99</v>
      </c>
      <c r="H33">
        <v>17.440000000000001</v>
      </c>
      <c r="I33">
        <v>3</v>
      </c>
      <c r="J33" t="str">
        <f>TEXT(SalesData[[#This Row],[Order Date]],"mmm")</f>
        <v>Dec</v>
      </c>
      <c r="K33">
        <f>YEAR(SalesData[[#This Row],[Order Date]])</f>
        <v>2025</v>
      </c>
      <c r="L33" s="3">
        <f>SalesData[[#This Row],[Profit]]/SalesData[[#This Row],[Sales]]</f>
        <v>0.18168559224919265</v>
      </c>
    </row>
    <row r="34" spans="1:12">
      <c r="A34" t="s">
        <v>104</v>
      </c>
      <c r="B34" s="2">
        <v>45712</v>
      </c>
      <c r="C34" t="s">
        <v>105</v>
      </c>
      <c r="D34" t="s">
        <v>19</v>
      </c>
      <c r="E34" t="s">
        <v>24</v>
      </c>
      <c r="F34" t="s">
        <v>55</v>
      </c>
      <c r="G34">
        <v>513.62</v>
      </c>
      <c r="H34">
        <v>72.28</v>
      </c>
      <c r="I34">
        <v>2</v>
      </c>
      <c r="J34" t="str">
        <f>TEXT(SalesData[[#This Row],[Order Date]],"mmm")</f>
        <v>Feb</v>
      </c>
      <c r="K34">
        <f>YEAR(SalesData[[#This Row],[Order Date]])</f>
        <v>2025</v>
      </c>
      <c r="L34" s="3">
        <f>SalesData[[#This Row],[Profit]]/SalesData[[#This Row],[Sales]]</f>
        <v>0.14072660721934505</v>
      </c>
    </row>
    <row r="35" spans="1:12">
      <c r="A35" t="s">
        <v>106</v>
      </c>
      <c r="B35" s="2">
        <v>45793</v>
      </c>
      <c r="C35" t="s">
        <v>107</v>
      </c>
      <c r="D35" t="s">
        <v>14</v>
      </c>
      <c r="E35" t="s">
        <v>37</v>
      </c>
      <c r="F35" t="s">
        <v>38</v>
      </c>
      <c r="G35">
        <v>39.89</v>
      </c>
      <c r="H35">
        <v>8.9499999999999993</v>
      </c>
      <c r="I35">
        <v>1</v>
      </c>
      <c r="J35" t="str">
        <f>TEXT(SalesData[[#This Row],[Order Date]],"mmm")</f>
        <v>May</v>
      </c>
      <c r="K35">
        <f>YEAR(SalesData[[#This Row],[Order Date]])</f>
        <v>2025</v>
      </c>
      <c r="L35" s="3">
        <f>SalesData[[#This Row],[Profit]]/SalesData[[#This Row],[Sales]]</f>
        <v>0.22436700927550762</v>
      </c>
    </row>
    <row r="36" spans="1:12">
      <c r="A36" t="s">
        <v>108</v>
      </c>
      <c r="B36" s="2">
        <v>45828</v>
      </c>
      <c r="C36" t="s">
        <v>67</v>
      </c>
      <c r="D36" t="s">
        <v>14</v>
      </c>
      <c r="E36" t="s">
        <v>15</v>
      </c>
      <c r="F36" t="s">
        <v>109</v>
      </c>
      <c r="G36">
        <v>113.2</v>
      </c>
      <c r="H36">
        <v>15.18</v>
      </c>
      <c r="I36">
        <v>5</v>
      </c>
      <c r="J36" t="str">
        <f>TEXT(SalesData[[#This Row],[Order Date]],"mmm")</f>
        <v>Jun</v>
      </c>
      <c r="K36">
        <f>YEAR(SalesData[[#This Row],[Order Date]])</f>
        <v>2025</v>
      </c>
      <c r="L36" s="3">
        <f>SalesData[[#This Row],[Profit]]/SalesData[[#This Row],[Sales]]</f>
        <v>0.13409893992932861</v>
      </c>
    </row>
    <row r="37" spans="1:12">
      <c r="A37" t="s">
        <v>110</v>
      </c>
      <c r="B37" s="2">
        <v>46011</v>
      </c>
      <c r="C37" t="s">
        <v>111</v>
      </c>
      <c r="D37" t="s">
        <v>23</v>
      </c>
      <c r="E37" t="s">
        <v>15</v>
      </c>
      <c r="F37" t="s">
        <v>29</v>
      </c>
      <c r="G37">
        <v>115.58</v>
      </c>
      <c r="H37">
        <v>6.5</v>
      </c>
      <c r="I37">
        <v>5</v>
      </c>
      <c r="J37" t="str">
        <f>TEXT(SalesData[[#This Row],[Order Date]],"mmm")</f>
        <v>Dec</v>
      </c>
      <c r="K37">
        <f>YEAR(SalesData[[#This Row],[Order Date]])</f>
        <v>2025</v>
      </c>
      <c r="L37" s="3">
        <f>SalesData[[#This Row],[Profit]]/SalesData[[#This Row],[Sales]]</f>
        <v>5.6238103478110403E-2</v>
      </c>
    </row>
    <row r="38" spans="1:12">
      <c r="A38" t="s">
        <v>112</v>
      </c>
      <c r="B38" s="2">
        <v>45678</v>
      </c>
      <c r="C38" t="s">
        <v>113</v>
      </c>
      <c r="D38" t="s">
        <v>19</v>
      </c>
      <c r="E38" t="s">
        <v>41</v>
      </c>
      <c r="F38" t="s">
        <v>42</v>
      </c>
      <c r="G38">
        <v>601.59</v>
      </c>
      <c r="H38">
        <v>193.13</v>
      </c>
      <c r="I38">
        <v>3</v>
      </c>
      <c r="J38" t="str">
        <f>TEXT(SalesData[[#This Row],[Order Date]],"mmm")</f>
        <v>Jan</v>
      </c>
      <c r="K38">
        <f>YEAR(SalesData[[#This Row],[Order Date]])</f>
        <v>2025</v>
      </c>
      <c r="L38" s="3">
        <f>SalesData[[#This Row],[Profit]]/SalesData[[#This Row],[Sales]]</f>
        <v>0.32103259695141206</v>
      </c>
    </row>
    <row r="39" spans="1:12">
      <c r="A39" t="s">
        <v>114</v>
      </c>
      <c r="B39" s="2">
        <v>45975</v>
      </c>
      <c r="C39" t="s">
        <v>115</v>
      </c>
      <c r="D39" t="s">
        <v>19</v>
      </c>
      <c r="E39" t="s">
        <v>37</v>
      </c>
      <c r="F39" t="s">
        <v>85</v>
      </c>
      <c r="G39">
        <v>33.61</v>
      </c>
      <c r="H39">
        <v>5.04</v>
      </c>
      <c r="I39">
        <v>4</v>
      </c>
      <c r="J39" t="str">
        <f>TEXT(SalesData[[#This Row],[Order Date]],"mmm")</f>
        <v>Nov</v>
      </c>
      <c r="K39">
        <f>YEAR(SalesData[[#This Row],[Order Date]])</f>
        <v>2025</v>
      </c>
      <c r="L39" s="3">
        <f>SalesData[[#This Row],[Profit]]/SalesData[[#This Row],[Sales]]</f>
        <v>0.14995537042546861</v>
      </c>
    </row>
    <row r="40" spans="1:12">
      <c r="A40" t="s">
        <v>116</v>
      </c>
      <c r="B40" s="2">
        <v>46000</v>
      </c>
      <c r="C40" t="s">
        <v>117</v>
      </c>
      <c r="D40" t="s">
        <v>14</v>
      </c>
      <c r="E40" t="s">
        <v>15</v>
      </c>
      <c r="F40" t="s">
        <v>82</v>
      </c>
      <c r="G40">
        <v>145.53</v>
      </c>
      <c r="H40">
        <v>12.13</v>
      </c>
      <c r="I40">
        <v>4</v>
      </c>
      <c r="J40" t="str">
        <f>TEXT(SalesData[[#This Row],[Order Date]],"mmm")</f>
        <v>Dec</v>
      </c>
      <c r="K40">
        <f>YEAR(SalesData[[#This Row],[Order Date]])</f>
        <v>2025</v>
      </c>
      <c r="L40" s="3">
        <f>SalesData[[#This Row],[Profit]]/SalesData[[#This Row],[Sales]]</f>
        <v>8.3350511921940498E-2</v>
      </c>
    </row>
    <row r="41" spans="1:12">
      <c r="A41" t="s">
        <v>118</v>
      </c>
      <c r="B41" s="2">
        <v>45893</v>
      </c>
      <c r="C41" t="s">
        <v>119</v>
      </c>
      <c r="D41" t="s">
        <v>19</v>
      </c>
      <c r="E41" t="s">
        <v>15</v>
      </c>
      <c r="F41" t="s">
        <v>16</v>
      </c>
      <c r="G41">
        <v>52.84</v>
      </c>
      <c r="H41">
        <v>9.49</v>
      </c>
      <c r="I41">
        <v>4</v>
      </c>
      <c r="J41" t="str">
        <f>TEXT(SalesData[[#This Row],[Order Date]],"mmm")</f>
        <v>Aug</v>
      </c>
      <c r="K41">
        <f>YEAR(SalesData[[#This Row],[Order Date]])</f>
        <v>2025</v>
      </c>
      <c r="L41" s="3">
        <f>SalesData[[#This Row],[Profit]]/SalesData[[#This Row],[Sales]]</f>
        <v>0.17959878879636637</v>
      </c>
    </row>
    <row r="42" spans="1:12">
      <c r="A42" t="s">
        <v>120</v>
      </c>
      <c r="B42" s="2">
        <v>45800</v>
      </c>
      <c r="C42" t="s">
        <v>121</v>
      </c>
      <c r="D42" t="s">
        <v>28</v>
      </c>
      <c r="E42" t="s">
        <v>41</v>
      </c>
      <c r="F42" t="s">
        <v>68</v>
      </c>
      <c r="G42">
        <v>708.99</v>
      </c>
      <c r="H42">
        <v>91.34</v>
      </c>
      <c r="I42">
        <v>3</v>
      </c>
      <c r="J42" t="str">
        <f>TEXT(SalesData[[#This Row],[Order Date]],"mmm")</f>
        <v>May</v>
      </c>
      <c r="K42">
        <f>YEAR(SalesData[[#This Row],[Order Date]])</f>
        <v>2025</v>
      </c>
      <c r="L42" s="3">
        <f>SalesData[[#This Row],[Profit]]/SalesData[[#This Row],[Sales]]</f>
        <v>0.12883115417706878</v>
      </c>
    </row>
    <row r="43" spans="1:12">
      <c r="A43" t="s">
        <v>122</v>
      </c>
      <c r="B43" s="2">
        <v>45749</v>
      </c>
      <c r="C43" t="s">
        <v>123</v>
      </c>
      <c r="D43" t="s">
        <v>32</v>
      </c>
      <c r="E43" t="s">
        <v>15</v>
      </c>
      <c r="F43" t="s">
        <v>109</v>
      </c>
      <c r="G43">
        <v>69.63</v>
      </c>
      <c r="H43">
        <v>6.76</v>
      </c>
      <c r="I43">
        <v>3</v>
      </c>
      <c r="J43" t="str">
        <f>TEXT(SalesData[[#This Row],[Order Date]],"mmm")</f>
        <v>Apr</v>
      </c>
      <c r="K43">
        <f>YEAR(SalesData[[#This Row],[Order Date]])</f>
        <v>2025</v>
      </c>
      <c r="L43" s="3">
        <f>SalesData[[#This Row],[Profit]]/SalesData[[#This Row],[Sales]]</f>
        <v>9.7084589975585237E-2</v>
      </c>
    </row>
    <row r="44" spans="1:12">
      <c r="A44" t="s">
        <v>124</v>
      </c>
      <c r="B44" s="2">
        <v>45919</v>
      </c>
      <c r="C44" t="s">
        <v>125</v>
      </c>
      <c r="D44" t="s">
        <v>23</v>
      </c>
      <c r="E44" t="s">
        <v>15</v>
      </c>
      <c r="F44" t="s">
        <v>82</v>
      </c>
      <c r="G44">
        <v>95.4</v>
      </c>
      <c r="H44">
        <v>12.21</v>
      </c>
      <c r="I44">
        <v>6</v>
      </c>
      <c r="J44" t="str">
        <f>TEXT(SalesData[[#This Row],[Order Date]],"mmm")</f>
        <v>Sep</v>
      </c>
      <c r="K44">
        <f>YEAR(SalesData[[#This Row],[Order Date]])</f>
        <v>2025</v>
      </c>
      <c r="L44" s="3">
        <f>SalesData[[#This Row],[Profit]]/SalesData[[#This Row],[Sales]]</f>
        <v>0.1279874213836478</v>
      </c>
    </row>
    <row r="45" spans="1:12">
      <c r="A45" t="s">
        <v>126</v>
      </c>
      <c r="B45" s="2">
        <v>46009</v>
      </c>
      <c r="C45" t="s">
        <v>127</v>
      </c>
      <c r="D45" t="s">
        <v>14</v>
      </c>
      <c r="E45" t="s">
        <v>24</v>
      </c>
      <c r="F45" t="s">
        <v>97</v>
      </c>
      <c r="G45">
        <v>836.95</v>
      </c>
      <c r="H45">
        <v>204.17</v>
      </c>
      <c r="I45">
        <v>5</v>
      </c>
      <c r="J45" t="str">
        <f>TEXT(SalesData[[#This Row],[Order Date]],"mmm")</f>
        <v>Dec</v>
      </c>
      <c r="K45">
        <f>YEAR(SalesData[[#This Row],[Order Date]])</f>
        <v>2025</v>
      </c>
      <c r="L45" s="3">
        <f>SalesData[[#This Row],[Profit]]/SalesData[[#This Row],[Sales]]</f>
        <v>0.24394527749566877</v>
      </c>
    </row>
    <row r="46" spans="1:12">
      <c r="A46" t="s">
        <v>128</v>
      </c>
      <c r="B46" s="2">
        <v>45816</v>
      </c>
      <c r="C46" t="s">
        <v>129</v>
      </c>
      <c r="D46" t="s">
        <v>14</v>
      </c>
      <c r="E46" t="s">
        <v>24</v>
      </c>
      <c r="F46" t="s">
        <v>97</v>
      </c>
      <c r="G46">
        <v>310</v>
      </c>
      <c r="H46">
        <v>57.07</v>
      </c>
      <c r="I46">
        <v>5</v>
      </c>
      <c r="J46" t="str">
        <f>TEXT(SalesData[[#This Row],[Order Date]],"mmm")</f>
        <v>Jun</v>
      </c>
      <c r="K46">
        <f>YEAR(SalesData[[#This Row],[Order Date]])</f>
        <v>2025</v>
      </c>
      <c r="L46" s="3">
        <f>SalesData[[#This Row],[Profit]]/SalesData[[#This Row],[Sales]]</f>
        <v>0.18409677419354839</v>
      </c>
    </row>
    <row r="47" spans="1:12">
      <c r="A47" t="s">
        <v>130</v>
      </c>
      <c r="B47" s="2">
        <v>46004</v>
      </c>
      <c r="C47" t="s">
        <v>131</v>
      </c>
      <c r="D47" t="s">
        <v>23</v>
      </c>
      <c r="E47" t="s">
        <v>33</v>
      </c>
      <c r="F47" t="s">
        <v>63</v>
      </c>
      <c r="G47">
        <v>4508.55</v>
      </c>
      <c r="H47">
        <v>521.78</v>
      </c>
      <c r="I47">
        <v>5</v>
      </c>
      <c r="J47" t="str">
        <f>TEXT(SalesData[[#This Row],[Order Date]],"mmm")</f>
        <v>Dec</v>
      </c>
      <c r="K47">
        <f>YEAR(SalesData[[#This Row],[Order Date]])</f>
        <v>2025</v>
      </c>
      <c r="L47" s="3">
        <f>SalesData[[#This Row],[Profit]]/SalesData[[#This Row],[Sales]]</f>
        <v>0.11573122178971065</v>
      </c>
    </row>
    <row r="48" spans="1:12">
      <c r="A48" t="s">
        <v>132</v>
      </c>
      <c r="B48" s="2">
        <v>45968</v>
      </c>
      <c r="C48" t="s">
        <v>133</v>
      </c>
      <c r="D48" t="s">
        <v>28</v>
      </c>
      <c r="E48" t="s">
        <v>24</v>
      </c>
      <c r="F48" t="s">
        <v>134</v>
      </c>
      <c r="G48">
        <v>1206.94</v>
      </c>
      <c r="H48">
        <v>312.83999999999997</v>
      </c>
      <c r="I48">
        <v>5</v>
      </c>
      <c r="J48" t="str">
        <f>TEXT(SalesData[[#This Row],[Order Date]],"mmm")</f>
        <v>Nov</v>
      </c>
      <c r="K48">
        <f>YEAR(SalesData[[#This Row],[Order Date]])</f>
        <v>2025</v>
      </c>
      <c r="L48" s="3">
        <f>SalesData[[#This Row],[Profit]]/SalesData[[#This Row],[Sales]]</f>
        <v>0.25920095447992442</v>
      </c>
    </row>
    <row r="49" spans="1:12">
      <c r="A49" t="s">
        <v>135</v>
      </c>
      <c r="B49" s="2">
        <v>45701</v>
      </c>
      <c r="C49" t="s">
        <v>136</v>
      </c>
      <c r="D49" t="s">
        <v>23</v>
      </c>
      <c r="E49" t="s">
        <v>24</v>
      </c>
      <c r="F49" t="s">
        <v>134</v>
      </c>
      <c r="G49">
        <v>734.64</v>
      </c>
      <c r="H49">
        <v>191.97</v>
      </c>
      <c r="I49">
        <v>6</v>
      </c>
      <c r="J49" t="str">
        <f>TEXT(SalesData[[#This Row],[Order Date]],"mmm")</f>
        <v>Feb</v>
      </c>
      <c r="K49">
        <f>YEAR(SalesData[[#This Row],[Order Date]])</f>
        <v>2025</v>
      </c>
      <c r="L49" s="3">
        <f>SalesData[[#This Row],[Profit]]/SalesData[[#This Row],[Sales]]</f>
        <v>0.26131166285527607</v>
      </c>
    </row>
    <row r="50" spans="1:12">
      <c r="A50" t="s">
        <v>137</v>
      </c>
      <c r="B50" s="2">
        <v>45681</v>
      </c>
      <c r="C50" t="s">
        <v>138</v>
      </c>
      <c r="D50" t="s">
        <v>23</v>
      </c>
      <c r="E50" t="s">
        <v>41</v>
      </c>
      <c r="F50" t="s">
        <v>42</v>
      </c>
      <c r="G50">
        <v>473</v>
      </c>
      <c r="H50">
        <v>121.77</v>
      </c>
      <c r="I50">
        <v>4</v>
      </c>
      <c r="J50" t="str">
        <f>TEXT(SalesData[[#This Row],[Order Date]],"mmm")</f>
        <v>Jan</v>
      </c>
      <c r="K50">
        <f>YEAR(SalesData[[#This Row],[Order Date]])</f>
        <v>2025</v>
      </c>
      <c r="L50" s="3">
        <f>SalesData[[#This Row],[Profit]]/SalesData[[#This Row],[Sales]]</f>
        <v>0.25744186046511625</v>
      </c>
    </row>
    <row r="51" spans="1:12">
      <c r="A51" t="s">
        <v>139</v>
      </c>
      <c r="B51" s="2">
        <v>46014</v>
      </c>
      <c r="C51" t="s">
        <v>140</v>
      </c>
      <c r="D51" t="s">
        <v>28</v>
      </c>
      <c r="E51" t="s">
        <v>15</v>
      </c>
      <c r="F51" t="s">
        <v>82</v>
      </c>
      <c r="G51">
        <v>28.51</v>
      </c>
      <c r="H51">
        <v>4.8600000000000003</v>
      </c>
      <c r="I51">
        <v>1</v>
      </c>
      <c r="J51" t="str">
        <f>TEXT(SalesData[[#This Row],[Order Date]],"mmm")</f>
        <v>Dec</v>
      </c>
      <c r="K51">
        <f>YEAR(SalesData[[#This Row],[Order Date]])</f>
        <v>2025</v>
      </c>
      <c r="L51" s="3">
        <f>SalesData[[#This Row],[Profit]]/SalesData[[#This Row],[Sales]]</f>
        <v>0.17046650298141003</v>
      </c>
    </row>
    <row r="52" spans="1:12">
      <c r="A52" t="s">
        <v>141</v>
      </c>
      <c r="B52" s="2">
        <v>45895</v>
      </c>
      <c r="C52" t="s">
        <v>142</v>
      </c>
      <c r="D52" t="s">
        <v>19</v>
      </c>
      <c r="E52" t="s">
        <v>37</v>
      </c>
      <c r="F52" t="s">
        <v>38</v>
      </c>
      <c r="G52">
        <v>49.32</v>
      </c>
      <c r="H52">
        <v>8.3699999999999992</v>
      </c>
      <c r="I52">
        <v>4</v>
      </c>
      <c r="J52" t="str">
        <f>TEXT(SalesData[[#This Row],[Order Date]],"mmm")</f>
        <v>Aug</v>
      </c>
      <c r="K52">
        <f>YEAR(SalesData[[#This Row],[Order Date]])</f>
        <v>2025</v>
      </c>
      <c r="L52" s="3">
        <f>SalesData[[#This Row],[Profit]]/SalesData[[#This Row],[Sales]]</f>
        <v>0.16970802919708028</v>
      </c>
    </row>
    <row r="53" spans="1:12">
      <c r="A53" t="s">
        <v>143</v>
      </c>
      <c r="B53" s="2">
        <v>45944</v>
      </c>
      <c r="C53" t="s">
        <v>144</v>
      </c>
      <c r="D53" t="s">
        <v>28</v>
      </c>
      <c r="E53" t="s">
        <v>41</v>
      </c>
      <c r="F53" t="s">
        <v>68</v>
      </c>
      <c r="G53">
        <v>847.52</v>
      </c>
      <c r="H53">
        <v>200.84</v>
      </c>
      <c r="I53">
        <v>4</v>
      </c>
      <c r="J53" t="str">
        <f>TEXT(SalesData[[#This Row],[Order Date]],"mmm")</f>
        <v>Oct</v>
      </c>
      <c r="K53">
        <f>YEAR(SalesData[[#This Row],[Order Date]])</f>
        <v>2025</v>
      </c>
      <c r="L53" s="3">
        <f>SalesData[[#This Row],[Profit]]/SalesData[[#This Row],[Sales]]</f>
        <v>0.23697375873135737</v>
      </c>
    </row>
    <row r="54" spans="1:12">
      <c r="A54" t="s">
        <v>145</v>
      </c>
      <c r="B54" s="2">
        <v>45901</v>
      </c>
      <c r="C54" t="s">
        <v>146</v>
      </c>
      <c r="D54" t="s">
        <v>19</v>
      </c>
      <c r="E54" t="s">
        <v>41</v>
      </c>
      <c r="F54" t="s">
        <v>58</v>
      </c>
      <c r="G54">
        <v>670.15</v>
      </c>
      <c r="H54">
        <v>107.1</v>
      </c>
      <c r="I54">
        <v>5</v>
      </c>
      <c r="J54" t="str">
        <f>TEXT(SalesData[[#This Row],[Order Date]],"mmm")</f>
        <v>Sep</v>
      </c>
      <c r="K54">
        <f>YEAR(SalesData[[#This Row],[Order Date]])</f>
        <v>2025</v>
      </c>
      <c r="L54" s="3">
        <f>SalesData[[#This Row],[Profit]]/SalesData[[#This Row],[Sales]]</f>
        <v>0.15981496679847795</v>
      </c>
    </row>
    <row r="55" spans="1:12">
      <c r="A55" t="s">
        <v>147</v>
      </c>
      <c r="B55" s="2">
        <v>45804</v>
      </c>
      <c r="C55" t="s">
        <v>148</v>
      </c>
      <c r="D55" t="s">
        <v>14</v>
      </c>
      <c r="E55" t="s">
        <v>24</v>
      </c>
      <c r="F55" t="s">
        <v>55</v>
      </c>
      <c r="G55">
        <v>65.66</v>
      </c>
      <c r="H55">
        <v>9.6</v>
      </c>
      <c r="I55">
        <v>1</v>
      </c>
      <c r="J55" t="str">
        <f>TEXT(SalesData[[#This Row],[Order Date]],"mmm")</f>
        <v>May</v>
      </c>
      <c r="K55">
        <f>YEAR(SalesData[[#This Row],[Order Date]])</f>
        <v>2025</v>
      </c>
      <c r="L55" s="3">
        <f>SalesData[[#This Row],[Profit]]/SalesData[[#This Row],[Sales]]</f>
        <v>0.14620773682607371</v>
      </c>
    </row>
    <row r="56" spans="1:12">
      <c r="A56" t="s">
        <v>149</v>
      </c>
      <c r="B56" s="2">
        <v>46019</v>
      </c>
      <c r="C56" t="s">
        <v>150</v>
      </c>
      <c r="D56" t="s">
        <v>28</v>
      </c>
      <c r="E56" t="s">
        <v>24</v>
      </c>
      <c r="F56" t="s">
        <v>55</v>
      </c>
      <c r="G56">
        <v>730.74</v>
      </c>
      <c r="H56">
        <v>134.47999999999999</v>
      </c>
      <c r="I56">
        <v>4</v>
      </c>
      <c r="J56" t="str">
        <f>TEXT(SalesData[[#This Row],[Order Date]],"mmm")</f>
        <v>Dec</v>
      </c>
      <c r="K56">
        <f>YEAR(SalesData[[#This Row],[Order Date]])</f>
        <v>2025</v>
      </c>
      <c r="L56" s="3">
        <f>SalesData[[#This Row],[Profit]]/SalesData[[#This Row],[Sales]]</f>
        <v>0.18403262446287325</v>
      </c>
    </row>
    <row r="57" spans="1:12">
      <c r="A57" t="s">
        <v>151</v>
      </c>
      <c r="B57" s="2">
        <v>45957</v>
      </c>
      <c r="C57" t="s">
        <v>152</v>
      </c>
      <c r="D57" t="s">
        <v>23</v>
      </c>
      <c r="E57" t="s">
        <v>24</v>
      </c>
      <c r="F57" t="s">
        <v>25</v>
      </c>
      <c r="G57">
        <v>355.62</v>
      </c>
      <c r="H57">
        <v>63.3</v>
      </c>
      <c r="I57">
        <v>3</v>
      </c>
      <c r="J57" t="str">
        <f>TEXT(SalesData[[#This Row],[Order Date]],"mmm")</f>
        <v>Oct</v>
      </c>
      <c r="K57">
        <f>YEAR(SalesData[[#This Row],[Order Date]])</f>
        <v>2025</v>
      </c>
      <c r="L57" s="3">
        <f>SalesData[[#This Row],[Profit]]/SalesData[[#This Row],[Sales]]</f>
        <v>0.17799898768348235</v>
      </c>
    </row>
    <row r="58" spans="1:12">
      <c r="A58" t="s">
        <v>153</v>
      </c>
      <c r="B58" s="2">
        <v>45872</v>
      </c>
      <c r="C58" t="s">
        <v>154</v>
      </c>
      <c r="D58" t="s">
        <v>23</v>
      </c>
      <c r="E58" t="s">
        <v>37</v>
      </c>
      <c r="F58" t="s">
        <v>155</v>
      </c>
      <c r="G58">
        <v>40.020000000000003</v>
      </c>
      <c r="H58">
        <v>6.92</v>
      </c>
      <c r="I58">
        <v>2</v>
      </c>
      <c r="J58" t="str">
        <f>TEXT(SalesData[[#This Row],[Order Date]],"mmm")</f>
        <v>Aug</v>
      </c>
      <c r="K58">
        <f>YEAR(SalesData[[#This Row],[Order Date]])</f>
        <v>2025</v>
      </c>
      <c r="L58" s="3">
        <f>SalesData[[#This Row],[Profit]]/SalesData[[#This Row],[Sales]]</f>
        <v>0.17291354322838579</v>
      </c>
    </row>
    <row r="59" spans="1:12">
      <c r="A59" t="s">
        <v>156</v>
      </c>
      <c r="B59" s="2">
        <v>46000</v>
      </c>
      <c r="C59" t="s">
        <v>157</v>
      </c>
      <c r="D59" t="s">
        <v>19</v>
      </c>
      <c r="E59" t="s">
        <v>41</v>
      </c>
      <c r="F59" t="s">
        <v>158</v>
      </c>
      <c r="G59">
        <v>995.99</v>
      </c>
      <c r="H59">
        <v>246.98</v>
      </c>
      <c r="I59">
        <v>5</v>
      </c>
      <c r="J59" t="str">
        <f>TEXT(SalesData[[#This Row],[Order Date]],"mmm")</f>
        <v>Dec</v>
      </c>
      <c r="K59">
        <f>YEAR(SalesData[[#This Row],[Order Date]])</f>
        <v>2025</v>
      </c>
      <c r="L59" s="3">
        <f>SalesData[[#This Row],[Profit]]/SalesData[[#This Row],[Sales]]</f>
        <v>0.24797437725278365</v>
      </c>
    </row>
    <row r="60" spans="1:12">
      <c r="A60" t="s">
        <v>159</v>
      </c>
      <c r="B60" s="2">
        <v>45700</v>
      </c>
      <c r="C60" t="s">
        <v>160</v>
      </c>
      <c r="D60" t="s">
        <v>19</v>
      </c>
      <c r="E60" t="s">
        <v>37</v>
      </c>
      <c r="F60" t="s">
        <v>85</v>
      </c>
      <c r="G60">
        <v>19.309999999999999</v>
      </c>
      <c r="H60">
        <v>2.88</v>
      </c>
      <c r="I60">
        <v>1</v>
      </c>
      <c r="J60" t="str">
        <f>TEXT(SalesData[[#This Row],[Order Date]],"mmm")</f>
        <v>Feb</v>
      </c>
      <c r="K60">
        <f>YEAR(SalesData[[#This Row],[Order Date]])</f>
        <v>2025</v>
      </c>
      <c r="L60" s="3">
        <f>SalesData[[#This Row],[Profit]]/SalesData[[#This Row],[Sales]]</f>
        <v>0.14914552045572244</v>
      </c>
    </row>
    <row r="61" spans="1:12">
      <c r="A61" t="s">
        <v>161</v>
      </c>
      <c r="B61" s="2">
        <v>45830</v>
      </c>
      <c r="C61" t="s">
        <v>162</v>
      </c>
      <c r="D61" t="s">
        <v>14</v>
      </c>
      <c r="E61" t="s">
        <v>41</v>
      </c>
      <c r="F61" t="s">
        <v>71</v>
      </c>
      <c r="G61">
        <v>638.54999999999995</v>
      </c>
      <c r="H61">
        <v>138.93</v>
      </c>
      <c r="I61">
        <v>3</v>
      </c>
      <c r="J61" t="str">
        <f>TEXT(SalesData[[#This Row],[Order Date]],"mmm")</f>
        <v>Jun</v>
      </c>
      <c r="K61">
        <f>YEAR(SalesData[[#This Row],[Order Date]])</f>
        <v>2025</v>
      </c>
      <c r="L61" s="3">
        <f>SalesData[[#This Row],[Profit]]/SalesData[[#This Row],[Sales]]</f>
        <v>0.21757105943152458</v>
      </c>
    </row>
    <row r="62" spans="1:12">
      <c r="A62" t="s">
        <v>163</v>
      </c>
      <c r="B62" s="2">
        <v>45684</v>
      </c>
      <c r="C62" t="s">
        <v>51</v>
      </c>
      <c r="D62" t="s">
        <v>32</v>
      </c>
      <c r="E62" t="s">
        <v>41</v>
      </c>
      <c r="F62" t="s">
        <v>42</v>
      </c>
      <c r="G62">
        <v>238.66</v>
      </c>
      <c r="H62">
        <v>-17.88</v>
      </c>
      <c r="I62">
        <v>1</v>
      </c>
      <c r="J62" t="str">
        <f>TEXT(SalesData[[#This Row],[Order Date]],"mmm")</f>
        <v>Jan</v>
      </c>
      <c r="K62">
        <f>YEAR(SalesData[[#This Row],[Order Date]])</f>
        <v>2025</v>
      </c>
      <c r="L62" s="3">
        <f>SalesData[[#This Row],[Profit]]/SalesData[[#This Row],[Sales]]</f>
        <v>-7.4918293807089587E-2</v>
      </c>
    </row>
    <row r="63" spans="1:12">
      <c r="A63" t="s">
        <v>164</v>
      </c>
      <c r="B63" s="2">
        <v>45736</v>
      </c>
      <c r="C63" t="s">
        <v>165</v>
      </c>
      <c r="D63" t="s">
        <v>28</v>
      </c>
      <c r="E63" t="s">
        <v>41</v>
      </c>
      <c r="F63" t="s">
        <v>68</v>
      </c>
      <c r="G63">
        <v>259.26</v>
      </c>
      <c r="H63">
        <v>42.53</v>
      </c>
      <c r="I63">
        <v>2</v>
      </c>
      <c r="J63" t="str">
        <f>TEXT(SalesData[[#This Row],[Order Date]],"mmm")</f>
        <v>Mar</v>
      </c>
      <c r="K63">
        <f>YEAR(SalesData[[#This Row],[Order Date]])</f>
        <v>2025</v>
      </c>
      <c r="L63" s="3">
        <f>SalesData[[#This Row],[Profit]]/SalesData[[#This Row],[Sales]]</f>
        <v>0.16404381701766568</v>
      </c>
    </row>
    <row r="64" spans="1:12">
      <c r="A64" t="s">
        <v>166</v>
      </c>
      <c r="B64" s="2">
        <v>45968</v>
      </c>
      <c r="C64" t="s">
        <v>167</v>
      </c>
      <c r="D64" t="s">
        <v>19</v>
      </c>
      <c r="E64" t="s">
        <v>37</v>
      </c>
      <c r="F64" t="s">
        <v>38</v>
      </c>
      <c r="G64">
        <v>38.25</v>
      </c>
      <c r="H64">
        <v>7.71</v>
      </c>
      <c r="I64">
        <v>5</v>
      </c>
      <c r="J64" t="str">
        <f>TEXT(SalesData[[#This Row],[Order Date]],"mmm")</f>
        <v>Nov</v>
      </c>
      <c r="K64">
        <f>YEAR(SalesData[[#This Row],[Order Date]])</f>
        <v>2025</v>
      </c>
      <c r="L64" s="3">
        <f>SalesData[[#This Row],[Profit]]/SalesData[[#This Row],[Sales]]</f>
        <v>0.20156862745098039</v>
      </c>
    </row>
    <row r="65" spans="1:12">
      <c r="A65" t="s">
        <v>168</v>
      </c>
      <c r="B65" s="2">
        <v>45861</v>
      </c>
      <c r="C65" t="s">
        <v>169</v>
      </c>
      <c r="D65" t="s">
        <v>32</v>
      </c>
      <c r="E65" t="s">
        <v>33</v>
      </c>
      <c r="F65" t="s">
        <v>170</v>
      </c>
      <c r="G65">
        <v>639.59</v>
      </c>
      <c r="H65">
        <v>83.96</v>
      </c>
      <c r="I65">
        <v>1</v>
      </c>
      <c r="J65" t="str">
        <f>TEXT(SalesData[[#This Row],[Order Date]],"mmm")</f>
        <v>Jul</v>
      </c>
      <c r="K65">
        <f>YEAR(SalesData[[#This Row],[Order Date]])</f>
        <v>2025</v>
      </c>
      <c r="L65" s="3">
        <f>SalesData[[#This Row],[Profit]]/SalesData[[#This Row],[Sales]]</f>
        <v>0.13127159586610171</v>
      </c>
    </row>
    <row r="66" spans="1:12">
      <c r="A66" t="s">
        <v>171</v>
      </c>
      <c r="B66" s="2">
        <v>45719</v>
      </c>
      <c r="C66" t="s">
        <v>172</v>
      </c>
      <c r="D66" t="s">
        <v>32</v>
      </c>
      <c r="E66" t="s">
        <v>24</v>
      </c>
      <c r="F66" t="s">
        <v>88</v>
      </c>
      <c r="G66">
        <v>853.74</v>
      </c>
      <c r="H66">
        <v>171.77</v>
      </c>
      <c r="I66">
        <v>6</v>
      </c>
      <c r="J66" t="str">
        <f>TEXT(SalesData[[#This Row],[Order Date]],"mmm")</f>
        <v>Mar</v>
      </c>
      <c r="K66">
        <f>YEAR(SalesData[[#This Row],[Order Date]])</f>
        <v>2025</v>
      </c>
      <c r="L66" s="3">
        <f>SalesData[[#This Row],[Profit]]/SalesData[[#This Row],[Sales]]</f>
        <v>0.2011970857638157</v>
      </c>
    </row>
    <row r="67" spans="1:12">
      <c r="A67" t="s">
        <v>173</v>
      </c>
      <c r="B67" s="2">
        <v>45873</v>
      </c>
      <c r="C67" t="s">
        <v>174</v>
      </c>
      <c r="D67" t="s">
        <v>32</v>
      </c>
      <c r="E67" t="s">
        <v>24</v>
      </c>
      <c r="F67" t="s">
        <v>97</v>
      </c>
      <c r="G67">
        <v>1885.32</v>
      </c>
      <c r="H67">
        <v>361.88</v>
      </c>
      <c r="I67">
        <v>6</v>
      </c>
      <c r="J67" t="str">
        <f>TEXT(SalesData[[#This Row],[Order Date]],"mmm")</f>
        <v>Aug</v>
      </c>
      <c r="K67">
        <f>YEAR(SalesData[[#This Row],[Order Date]])</f>
        <v>2025</v>
      </c>
      <c r="L67" s="3">
        <f>SalesData[[#This Row],[Profit]]/SalesData[[#This Row],[Sales]]</f>
        <v>0.19194619481043007</v>
      </c>
    </row>
    <row r="68" spans="1:12">
      <c r="A68" t="s">
        <v>175</v>
      </c>
      <c r="B68" s="2">
        <v>45748</v>
      </c>
      <c r="C68" t="s">
        <v>176</v>
      </c>
      <c r="D68" t="s">
        <v>14</v>
      </c>
      <c r="E68" t="s">
        <v>41</v>
      </c>
      <c r="F68" t="s">
        <v>68</v>
      </c>
      <c r="G68">
        <v>518.4</v>
      </c>
      <c r="H68">
        <v>158.86000000000001</v>
      </c>
      <c r="I68">
        <v>4</v>
      </c>
      <c r="J68" t="str">
        <f>TEXT(SalesData[[#This Row],[Order Date]],"mmm")</f>
        <v>Apr</v>
      </c>
      <c r="K68">
        <f>YEAR(SalesData[[#This Row],[Order Date]])</f>
        <v>2025</v>
      </c>
      <c r="L68" s="3">
        <f>SalesData[[#This Row],[Profit]]/SalesData[[#This Row],[Sales]]</f>
        <v>0.30644290123456797</v>
      </c>
    </row>
    <row r="69" spans="1:12">
      <c r="A69" t="s">
        <v>177</v>
      </c>
      <c r="B69" s="2">
        <v>45823</v>
      </c>
      <c r="C69" t="s">
        <v>117</v>
      </c>
      <c r="D69" t="s">
        <v>32</v>
      </c>
      <c r="E69" t="s">
        <v>24</v>
      </c>
      <c r="F69" t="s">
        <v>88</v>
      </c>
      <c r="G69">
        <v>535.32000000000005</v>
      </c>
      <c r="H69">
        <v>114.54</v>
      </c>
      <c r="I69">
        <v>2</v>
      </c>
      <c r="J69" t="str">
        <f>TEXT(SalesData[[#This Row],[Order Date]],"mmm")</f>
        <v>Jun</v>
      </c>
      <c r="K69">
        <f>YEAR(SalesData[[#This Row],[Order Date]])</f>
        <v>2025</v>
      </c>
      <c r="L69" s="3">
        <f>SalesData[[#This Row],[Profit]]/SalesData[[#This Row],[Sales]]</f>
        <v>0.21396547859224388</v>
      </c>
    </row>
    <row r="70" spans="1:12">
      <c r="A70" t="s">
        <v>178</v>
      </c>
      <c r="B70" s="2">
        <v>45830</v>
      </c>
      <c r="C70" t="s">
        <v>179</v>
      </c>
      <c r="D70" t="s">
        <v>14</v>
      </c>
      <c r="E70" t="s">
        <v>15</v>
      </c>
      <c r="F70" t="s">
        <v>16</v>
      </c>
      <c r="G70">
        <v>74.849999999999994</v>
      </c>
      <c r="H70">
        <v>7.56</v>
      </c>
      <c r="I70">
        <v>3</v>
      </c>
      <c r="J70" t="str">
        <f>TEXT(SalesData[[#This Row],[Order Date]],"mmm")</f>
        <v>Jun</v>
      </c>
      <c r="K70">
        <f>YEAR(SalesData[[#This Row],[Order Date]])</f>
        <v>2025</v>
      </c>
      <c r="L70" s="3">
        <f>SalesData[[#This Row],[Profit]]/SalesData[[#This Row],[Sales]]</f>
        <v>0.10100200400801604</v>
      </c>
    </row>
    <row r="71" spans="1:12">
      <c r="A71" t="s">
        <v>180</v>
      </c>
      <c r="B71" s="2">
        <v>46017</v>
      </c>
      <c r="C71" t="s">
        <v>181</v>
      </c>
      <c r="D71" t="s">
        <v>23</v>
      </c>
      <c r="E71" t="s">
        <v>15</v>
      </c>
      <c r="F71" t="s">
        <v>16</v>
      </c>
      <c r="G71">
        <v>13.48</v>
      </c>
      <c r="H71">
        <v>1.8</v>
      </c>
      <c r="I71">
        <v>1</v>
      </c>
      <c r="J71" t="str">
        <f>TEXT(SalesData[[#This Row],[Order Date]],"mmm")</f>
        <v>Dec</v>
      </c>
      <c r="K71">
        <f>YEAR(SalesData[[#This Row],[Order Date]])</f>
        <v>2025</v>
      </c>
      <c r="L71" s="3">
        <f>SalesData[[#This Row],[Profit]]/SalesData[[#This Row],[Sales]]</f>
        <v>0.13353115727002968</v>
      </c>
    </row>
    <row r="72" spans="1:12">
      <c r="A72" t="s">
        <v>182</v>
      </c>
      <c r="B72" s="2">
        <v>45901</v>
      </c>
      <c r="C72" t="s">
        <v>183</v>
      </c>
      <c r="D72" t="s">
        <v>28</v>
      </c>
      <c r="E72" t="s">
        <v>41</v>
      </c>
      <c r="F72" t="s">
        <v>42</v>
      </c>
      <c r="G72">
        <v>224.58</v>
      </c>
      <c r="H72">
        <v>61.3</v>
      </c>
      <c r="I72">
        <v>3</v>
      </c>
      <c r="J72" t="str">
        <f>TEXT(SalesData[[#This Row],[Order Date]],"mmm")</f>
        <v>Sep</v>
      </c>
      <c r="K72">
        <f>YEAR(SalesData[[#This Row],[Order Date]])</f>
        <v>2025</v>
      </c>
      <c r="L72" s="3">
        <f>SalesData[[#This Row],[Profit]]/SalesData[[#This Row],[Sales]]</f>
        <v>0.27295395850031168</v>
      </c>
    </row>
    <row r="73" spans="1:12">
      <c r="A73" t="s">
        <v>184</v>
      </c>
      <c r="B73" s="2">
        <v>45955</v>
      </c>
      <c r="C73" t="s">
        <v>185</v>
      </c>
      <c r="D73" t="s">
        <v>23</v>
      </c>
      <c r="E73" t="s">
        <v>33</v>
      </c>
      <c r="F73" t="s">
        <v>63</v>
      </c>
      <c r="G73">
        <v>3079.98</v>
      </c>
      <c r="H73">
        <v>430.61</v>
      </c>
      <c r="I73">
        <v>6</v>
      </c>
      <c r="J73" t="str">
        <f>TEXT(SalesData[[#This Row],[Order Date]],"mmm")</f>
        <v>Oct</v>
      </c>
      <c r="K73">
        <f>YEAR(SalesData[[#This Row],[Order Date]])</f>
        <v>2025</v>
      </c>
      <c r="L73" s="3">
        <f>SalesData[[#This Row],[Profit]]/SalesData[[#This Row],[Sales]]</f>
        <v>0.13980934941135981</v>
      </c>
    </row>
    <row r="74" spans="1:12">
      <c r="A74" t="s">
        <v>186</v>
      </c>
      <c r="B74" s="2">
        <v>45814</v>
      </c>
      <c r="C74" t="s">
        <v>187</v>
      </c>
      <c r="D74" t="s">
        <v>32</v>
      </c>
      <c r="E74" t="s">
        <v>41</v>
      </c>
      <c r="F74" t="s">
        <v>58</v>
      </c>
      <c r="G74">
        <v>192.15</v>
      </c>
      <c r="H74">
        <v>64.89</v>
      </c>
      <c r="I74">
        <v>1</v>
      </c>
      <c r="J74" t="str">
        <f>TEXT(SalesData[[#This Row],[Order Date]],"mmm")</f>
        <v>Jun</v>
      </c>
      <c r="K74">
        <f>YEAR(SalesData[[#This Row],[Order Date]])</f>
        <v>2025</v>
      </c>
      <c r="L74" s="3">
        <f>SalesData[[#This Row],[Profit]]/SalesData[[#This Row],[Sales]]</f>
        <v>0.3377049180327869</v>
      </c>
    </row>
    <row r="75" spans="1:12">
      <c r="A75" t="s">
        <v>188</v>
      </c>
      <c r="B75" s="2">
        <v>45756</v>
      </c>
      <c r="C75" t="s">
        <v>189</v>
      </c>
      <c r="D75" t="s">
        <v>14</v>
      </c>
      <c r="E75" t="s">
        <v>41</v>
      </c>
      <c r="F75" t="s">
        <v>68</v>
      </c>
      <c r="G75">
        <v>443.35</v>
      </c>
      <c r="H75">
        <v>55.48</v>
      </c>
      <c r="I75">
        <v>5</v>
      </c>
      <c r="J75" t="str">
        <f>TEXT(SalesData[[#This Row],[Order Date]],"mmm")</f>
        <v>Apr</v>
      </c>
      <c r="K75">
        <f>YEAR(SalesData[[#This Row],[Order Date]])</f>
        <v>2025</v>
      </c>
      <c r="L75" s="3">
        <f>SalesData[[#This Row],[Profit]]/SalesData[[#This Row],[Sales]]</f>
        <v>0.12513815270102627</v>
      </c>
    </row>
    <row r="76" spans="1:12">
      <c r="A76" t="s">
        <v>190</v>
      </c>
      <c r="B76" s="2">
        <v>45774</v>
      </c>
      <c r="C76" t="s">
        <v>191</v>
      </c>
      <c r="D76" t="s">
        <v>14</v>
      </c>
      <c r="E76" t="s">
        <v>15</v>
      </c>
      <c r="F76" t="s">
        <v>20</v>
      </c>
      <c r="G76">
        <v>23.72</v>
      </c>
      <c r="H76">
        <v>4.6500000000000004</v>
      </c>
      <c r="I76">
        <v>2</v>
      </c>
      <c r="J76" t="str">
        <f>TEXT(SalesData[[#This Row],[Order Date]],"mmm")</f>
        <v>Apr</v>
      </c>
      <c r="K76">
        <f>YEAR(SalesData[[#This Row],[Order Date]])</f>
        <v>2025</v>
      </c>
      <c r="L76" s="3">
        <f>SalesData[[#This Row],[Profit]]/SalesData[[#This Row],[Sales]]</f>
        <v>0.19603709949409784</v>
      </c>
    </row>
    <row r="77" spans="1:12">
      <c r="A77" t="s">
        <v>192</v>
      </c>
      <c r="B77" s="2">
        <v>46015</v>
      </c>
      <c r="C77" t="s">
        <v>193</v>
      </c>
      <c r="D77" t="s">
        <v>32</v>
      </c>
      <c r="E77" t="s">
        <v>37</v>
      </c>
      <c r="F77" t="s">
        <v>194</v>
      </c>
      <c r="G77">
        <v>113.92</v>
      </c>
      <c r="H77">
        <v>14.54</v>
      </c>
      <c r="I77">
        <v>3</v>
      </c>
      <c r="J77" t="str">
        <f>TEXT(SalesData[[#This Row],[Order Date]],"mmm")</f>
        <v>Dec</v>
      </c>
      <c r="K77">
        <f>YEAR(SalesData[[#This Row],[Order Date]])</f>
        <v>2025</v>
      </c>
      <c r="L77" s="3">
        <f>SalesData[[#This Row],[Profit]]/SalesData[[#This Row],[Sales]]</f>
        <v>0.12763342696629212</v>
      </c>
    </row>
    <row r="78" spans="1:12">
      <c r="A78" t="s">
        <v>195</v>
      </c>
      <c r="B78" s="2">
        <v>45902</v>
      </c>
      <c r="C78" t="s">
        <v>27</v>
      </c>
      <c r="D78" t="s">
        <v>28</v>
      </c>
      <c r="E78" t="s">
        <v>33</v>
      </c>
      <c r="F78" t="s">
        <v>34</v>
      </c>
      <c r="G78">
        <v>3782.1</v>
      </c>
      <c r="H78">
        <v>400.12</v>
      </c>
      <c r="I78">
        <v>6</v>
      </c>
      <c r="J78" t="str">
        <f>TEXT(SalesData[[#This Row],[Order Date]],"mmm")</f>
        <v>Sep</v>
      </c>
      <c r="K78">
        <f>YEAR(SalesData[[#This Row],[Order Date]])</f>
        <v>2025</v>
      </c>
      <c r="L78" s="3">
        <f>SalesData[[#This Row],[Profit]]/SalesData[[#This Row],[Sales]]</f>
        <v>0.10579307791967425</v>
      </c>
    </row>
    <row r="79" spans="1:12">
      <c r="A79" t="s">
        <v>196</v>
      </c>
      <c r="B79" s="2">
        <v>45813</v>
      </c>
      <c r="C79" t="s">
        <v>197</v>
      </c>
      <c r="D79" t="s">
        <v>32</v>
      </c>
      <c r="E79" t="s">
        <v>33</v>
      </c>
      <c r="F79" t="s">
        <v>63</v>
      </c>
      <c r="G79">
        <v>2763.35</v>
      </c>
      <c r="H79">
        <v>511.58</v>
      </c>
      <c r="I79">
        <v>5</v>
      </c>
      <c r="J79" t="str">
        <f>TEXT(SalesData[[#This Row],[Order Date]],"mmm")</f>
        <v>Jun</v>
      </c>
      <c r="K79">
        <f>YEAR(SalesData[[#This Row],[Order Date]])</f>
        <v>2025</v>
      </c>
      <c r="L79" s="3">
        <f>SalesData[[#This Row],[Profit]]/SalesData[[#This Row],[Sales]]</f>
        <v>0.1851303671268569</v>
      </c>
    </row>
    <row r="80" spans="1:12">
      <c r="A80" t="s">
        <v>198</v>
      </c>
      <c r="B80" s="2">
        <v>45852</v>
      </c>
      <c r="C80" t="s">
        <v>199</v>
      </c>
      <c r="D80" t="s">
        <v>14</v>
      </c>
      <c r="E80" t="s">
        <v>37</v>
      </c>
      <c r="F80" t="s">
        <v>155</v>
      </c>
      <c r="G80">
        <v>108.81</v>
      </c>
      <c r="H80">
        <v>11.86</v>
      </c>
      <c r="I80">
        <v>3</v>
      </c>
      <c r="J80" t="str">
        <f>TEXT(SalesData[[#This Row],[Order Date]],"mmm")</f>
        <v>Jul</v>
      </c>
      <c r="K80">
        <f>YEAR(SalesData[[#This Row],[Order Date]])</f>
        <v>2025</v>
      </c>
      <c r="L80" s="3">
        <f>SalesData[[#This Row],[Profit]]/SalesData[[#This Row],[Sales]]</f>
        <v>0.10899733480378641</v>
      </c>
    </row>
    <row r="81" spans="1:12">
      <c r="A81" t="s">
        <v>200</v>
      </c>
      <c r="B81" s="2">
        <v>45708</v>
      </c>
      <c r="C81" t="s">
        <v>201</v>
      </c>
      <c r="D81" t="s">
        <v>19</v>
      </c>
      <c r="E81" t="s">
        <v>24</v>
      </c>
      <c r="F81" t="s">
        <v>25</v>
      </c>
      <c r="G81">
        <v>198.32</v>
      </c>
      <c r="H81">
        <v>41.73</v>
      </c>
      <c r="I81">
        <v>2</v>
      </c>
      <c r="J81" t="str">
        <f>TEXT(SalesData[[#This Row],[Order Date]],"mmm")</f>
        <v>Feb</v>
      </c>
      <c r="K81">
        <f>YEAR(SalesData[[#This Row],[Order Date]])</f>
        <v>2025</v>
      </c>
      <c r="L81" s="3">
        <f>SalesData[[#This Row],[Profit]]/SalesData[[#This Row],[Sales]]</f>
        <v>0.2104175070592981</v>
      </c>
    </row>
    <row r="82" spans="1:12">
      <c r="A82" t="s">
        <v>202</v>
      </c>
      <c r="B82" s="2">
        <v>45867</v>
      </c>
      <c r="C82" t="s">
        <v>203</v>
      </c>
      <c r="D82" t="s">
        <v>28</v>
      </c>
      <c r="E82" t="s">
        <v>24</v>
      </c>
      <c r="F82" t="s">
        <v>134</v>
      </c>
      <c r="G82">
        <v>759.9</v>
      </c>
      <c r="H82">
        <v>182.83</v>
      </c>
      <c r="I82">
        <v>3</v>
      </c>
      <c r="J82" t="str">
        <f>TEXT(SalesData[[#This Row],[Order Date]],"mmm")</f>
        <v>Jul</v>
      </c>
      <c r="K82">
        <f>YEAR(SalesData[[#This Row],[Order Date]])</f>
        <v>2025</v>
      </c>
      <c r="L82" s="3">
        <f>SalesData[[#This Row],[Profit]]/SalesData[[#This Row],[Sales]]</f>
        <v>0.2405974470325043</v>
      </c>
    </row>
    <row r="83" spans="1:12">
      <c r="A83" t="s">
        <v>204</v>
      </c>
      <c r="B83" s="2">
        <v>46009</v>
      </c>
      <c r="C83" t="s">
        <v>148</v>
      </c>
      <c r="D83" t="s">
        <v>23</v>
      </c>
      <c r="E83" t="s">
        <v>41</v>
      </c>
      <c r="F83" t="s">
        <v>158</v>
      </c>
      <c r="G83">
        <v>237.32</v>
      </c>
      <c r="H83">
        <v>32.57</v>
      </c>
      <c r="I83">
        <v>4</v>
      </c>
      <c r="J83" t="str">
        <f>TEXT(SalesData[[#This Row],[Order Date]],"mmm")</f>
        <v>Dec</v>
      </c>
      <c r="K83">
        <f>YEAR(SalesData[[#This Row],[Order Date]])</f>
        <v>2025</v>
      </c>
      <c r="L83" s="3">
        <f>SalesData[[#This Row],[Profit]]/SalesData[[#This Row],[Sales]]</f>
        <v>0.13724085622787799</v>
      </c>
    </row>
    <row r="84" spans="1:12">
      <c r="A84" t="s">
        <v>205</v>
      </c>
      <c r="B84" s="2">
        <v>45730</v>
      </c>
      <c r="C84" t="s">
        <v>206</v>
      </c>
      <c r="D84" t="s">
        <v>19</v>
      </c>
      <c r="E84" t="s">
        <v>41</v>
      </c>
      <c r="F84" t="s">
        <v>68</v>
      </c>
      <c r="G84">
        <v>1262.7</v>
      </c>
      <c r="H84">
        <v>417.07</v>
      </c>
      <c r="I84">
        <v>6</v>
      </c>
      <c r="J84" t="str">
        <f>TEXT(SalesData[[#This Row],[Order Date]],"mmm")</f>
        <v>Mar</v>
      </c>
      <c r="K84">
        <f>YEAR(SalesData[[#This Row],[Order Date]])</f>
        <v>2025</v>
      </c>
      <c r="L84" s="3">
        <f>SalesData[[#This Row],[Profit]]/SalesData[[#This Row],[Sales]]</f>
        <v>0.33030015047121247</v>
      </c>
    </row>
    <row r="85" spans="1:12">
      <c r="A85" t="s">
        <v>207</v>
      </c>
      <c r="B85" s="2">
        <v>45897</v>
      </c>
      <c r="C85" t="s">
        <v>208</v>
      </c>
      <c r="D85" t="s">
        <v>28</v>
      </c>
      <c r="E85" t="s">
        <v>37</v>
      </c>
      <c r="F85" t="s">
        <v>194</v>
      </c>
      <c r="G85">
        <v>160.80000000000001</v>
      </c>
      <c r="H85">
        <v>18.02</v>
      </c>
      <c r="I85">
        <v>5</v>
      </c>
      <c r="J85" t="str">
        <f>TEXT(SalesData[[#This Row],[Order Date]],"mmm")</f>
        <v>Aug</v>
      </c>
      <c r="K85">
        <f>YEAR(SalesData[[#This Row],[Order Date]])</f>
        <v>2025</v>
      </c>
      <c r="L85" s="3">
        <f>SalesData[[#This Row],[Profit]]/SalesData[[#This Row],[Sales]]</f>
        <v>0.11206467661691541</v>
      </c>
    </row>
    <row r="86" spans="1:12">
      <c r="A86" t="s">
        <v>209</v>
      </c>
      <c r="B86" s="2">
        <v>45879</v>
      </c>
      <c r="C86" t="s">
        <v>210</v>
      </c>
      <c r="D86" t="s">
        <v>23</v>
      </c>
      <c r="E86" t="s">
        <v>24</v>
      </c>
      <c r="F86" t="s">
        <v>25</v>
      </c>
      <c r="G86">
        <v>674.86</v>
      </c>
      <c r="H86">
        <v>180.32</v>
      </c>
      <c r="I86">
        <v>2</v>
      </c>
      <c r="J86" t="str">
        <f>TEXT(SalesData[[#This Row],[Order Date]],"mmm")</f>
        <v>Aug</v>
      </c>
      <c r="K86">
        <f>YEAR(SalesData[[#This Row],[Order Date]])</f>
        <v>2025</v>
      </c>
      <c r="L86" s="3">
        <f>SalesData[[#This Row],[Profit]]/SalesData[[#This Row],[Sales]]</f>
        <v>0.26719615920339029</v>
      </c>
    </row>
    <row r="87" spans="1:12">
      <c r="A87" t="s">
        <v>211</v>
      </c>
      <c r="B87" s="2">
        <v>45668</v>
      </c>
      <c r="C87" t="s">
        <v>212</v>
      </c>
      <c r="D87" t="s">
        <v>23</v>
      </c>
      <c r="E87" t="s">
        <v>15</v>
      </c>
      <c r="F87" t="s">
        <v>16</v>
      </c>
      <c r="G87">
        <v>71.88</v>
      </c>
      <c r="H87">
        <v>8.36</v>
      </c>
      <c r="I87">
        <v>4</v>
      </c>
      <c r="J87" t="str">
        <f>TEXT(SalesData[[#This Row],[Order Date]],"mmm")</f>
        <v>Jan</v>
      </c>
      <c r="K87">
        <f>YEAR(SalesData[[#This Row],[Order Date]])</f>
        <v>2025</v>
      </c>
      <c r="L87" s="3">
        <f>SalesData[[#This Row],[Profit]]/SalesData[[#This Row],[Sales]]</f>
        <v>0.11630495269894268</v>
      </c>
    </row>
    <row r="88" spans="1:12">
      <c r="A88" t="s">
        <v>213</v>
      </c>
      <c r="B88" s="2">
        <v>45957</v>
      </c>
      <c r="C88" t="s">
        <v>214</v>
      </c>
      <c r="D88" t="s">
        <v>32</v>
      </c>
      <c r="E88" t="s">
        <v>33</v>
      </c>
      <c r="F88" t="s">
        <v>63</v>
      </c>
      <c r="G88">
        <v>948.33</v>
      </c>
      <c r="H88">
        <v>92.73</v>
      </c>
      <c r="I88">
        <v>3</v>
      </c>
      <c r="J88" t="str">
        <f>TEXT(SalesData[[#This Row],[Order Date]],"mmm")</f>
        <v>Oct</v>
      </c>
      <c r="K88">
        <f>YEAR(SalesData[[#This Row],[Order Date]])</f>
        <v>2025</v>
      </c>
      <c r="L88" s="3">
        <f>SalesData[[#This Row],[Profit]]/SalesData[[#This Row],[Sales]]</f>
        <v>9.7782417512891087E-2</v>
      </c>
    </row>
    <row r="89" spans="1:12">
      <c r="A89" t="s">
        <v>215</v>
      </c>
      <c r="B89" s="2">
        <v>45868</v>
      </c>
      <c r="C89" t="s">
        <v>216</v>
      </c>
      <c r="D89" t="s">
        <v>14</v>
      </c>
      <c r="E89" t="s">
        <v>41</v>
      </c>
      <c r="F89" t="s">
        <v>71</v>
      </c>
      <c r="G89">
        <v>166.3</v>
      </c>
      <c r="H89">
        <v>20.29</v>
      </c>
      <c r="I89">
        <v>5</v>
      </c>
      <c r="J89" t="str">
        <f>TEXT(SalesData[[#This Row],[Order Date]],"mmm")</f>
        <v>Jul</v>
      </c>
      <c r="K89">
        <f>YEAR(SalesData[[#This Row],[Order Date]])</f>
        <v>2025</v>
      </c>
      <c r="L89" s="3">
        <f>SalesData[[#This Row],[Profit]]/SalesData[[#This Row],[Sales]]</f>
        <v>0.12200841852074562</v>
      </c>
    </row>
    <row r="90" spans="1:12">
      <c r="A90" t="s">
        <v>217</v>
      </c>
      <c r="B90" s="2">
        <v>45717</v>
      </c>
      <c r="C90" t="s">
        <v>162</v>
      </c>
      <c r="D90" t="s">
        <v>23</v>
      </c>
      <c r="E90" t="s">
        <v>41</v>
      </c>
      <c r="F90" t="s">
        <v>42</v>
      </c>
      <c r="G90">
        <v>1323.66</v>
      </c>
      <c r="H90">
        <v>285.24</v>
      </c>
      <c r="I90">
        <v>6</v>
      </c>
      <c r="J90" t="str">
        <f>TEXT(SalesData[[#This Row],[Order Date]],"mmm")</f>
        <v>Mar</v>
      </c>
      <c r="K90">
        <f>YEAR(SalesData[[#This Row],[Order Date]])</f>
        <v>2025</v>
      </c>
      <c r="L90" s="3">
        <f>SalesData[[#This Row],[Profit]]/SalesData[[#This Row],[Sales]]</f>
        <v>0.21549340465074113</v>
      </c>
    </row>
    <row r="91" spans="1:12">
      <c r="A91" t="s">
        <v>218</v>
      </c>
      <c r="B91" s="2">
        <v>45923</v>
      </c>
      <c r="C91" t="s">
        <v>219</v>
      </c>
      <c r="D91" t="s">
        <v>28</v>
      </c>
      <c r="E91" t="s">
        <v>41</v>
      </c>
      <c r="F91" t="s">
        <v>42</v>
      </c>
      <c r="G91">
        <v>170.18</v>
      </c>
      <c r="H91">
        <v>22.59</v>
      </c>
      <c r="I91">
        <v>2</v>
      </c>
      <c r="J91" t="str">
        <f>TEXT(SalesData[[#This Row],[Order Date]],"mmm")</f>
        <v>Sep</v>
      </c>
      <c r="K91">
        <f>YEAR(SalesData[[#This Row],[Order Date]])</f>
        <v>2025</v>
      </c>
      <c r="L91" s="3">
        <f>SalesData[[#This Row],[Profit]]/SalesData[[#This Row],[Sales]]</f>
        <v>0.13274180279703843</v>
      </c>
    </row>
    <row r="92" spans="1:12">
      <c r="A92" t="s">
        <v>220</v>
      </c>
      <c r="B92" s="2">
        <v>46015</v>
      </c>
      <c r="C92" t="s">
        <v>221</v>
      </c>
      <c r="D92" t="s">
        <v>32</v>
      </c>
      <c r="E92" t="s">
        <v>37</v>
      </c>
      <c r="F92" t="s">
        <v>194</v>
      </c>
      <c r="G92">
        <v>105.1</v>
      </c>
      <c r="H92">
        <v>10.73</v>
      </c>
      <c r="I92">
        <v>2</v>
      </c>
      <c r="J92" t="str">
        <f>TEXT(SalesData[[#This Row],[Order Date]],"mmm")</f>
        <v>Dec</v>
      </c>
      <c r="K92">
        <f>YEAR(SalesData[[#This Row],[Order Date]])</f>
        <v>2025</v>
      </c>
      <c r="L92" s="3">
        <f>SalesData[[#This Row],[Profit]]/SalesData[[#This Row],[Sales]]</f>
        <v>0.10209324452901999</v>
      </c>
    </row>
    <row r="93" spans="1:12">
      <c r="A93" t="s">
        <v>222</v>
      </c>
      <c r="B93" s="2">
        <v>45773</v>
      </c>
      <c r="C93" t="s">
        <v>223</v>
      </c>
      <c r="D93" t="s">
        <v>28</v>
      </c>
      <c r="E93" t="s">
        <v>37</v>
      </c>
      <c r="F93" t="s">
        <v>85</v>
      </c>
      <c r="G93">
        <v>225.2</v>
      </c>
      <c r="H93">
        <v>32.380000000000003</v>
      </c>
      <c r="I93">
        <v>4</v>
      </c>
      <c r="J93" t="str">
        <f>TEXT(SalesData[[#This Row],[Order Date]],"mmm")</f>
        <v>Apr</v>
      </c>
      <c r="K93">
        <f>YEAR(SalesData[[#This Row],[Order Date]])</f>
        <v>2025</v>
      </c>
      <c r="L93" s="3">
        <f>SalesData[[#This Row],[Profit]]/SalesData[[#This Row],[Sales]]</f>
        <v>0.14378330373001777</v>
      </c>
    </row>
    <row r="94" spans="1:12">
      <c r="A94" t="s">
        <v>224</v>
      </c>
      <c r="B94" s="2">
        <v>45870</v>
      </c>
      <c r="C94" t="s">
        <v>174</v>
      </c>
      <c r="D94" t="s">
        <v>28</v>
      </c>
      <c r="E94" t="s">
        <v>15</v>
      </c>
      <c r="F94" t="s">
        <v>20</v>
      </c>
      <c r="G94">
        <v>29.18</v>
      </c>
      <c r="H94">
        <v>5.49</v>
      </c>
      <c r="I94">
        <v>2</v>
      </c>
      <c r="J94" t="str">
        <f>TEXT(SalesData[[#This Row],[Order Date]],"mmm")</f>
        <v>Aug</v>
      </c>
      <c r="K94">
        <f>YEAR(SalesData[[#This Row],[Order Date]])</f>
        <v>2025</v>
      </c>
      <c r="L94" s="3">
        <f>SalesData[[#This Row],[Profit]]/SalesData[[#This Row],[Sales]]</f>
        <v>0.18814256339958876</v>
      </c>
    </row>
    <row r="95" spans="1:12">
      <c r="A95" t="s">
        <v>225</v>
      </c>
      <c r="B95" s="2">
        <v>45727</v>
      </c>
      <c r="C95" t="s">
        <v>226</v>
      </c>
      <c r="D95" t="s">
        <v>14</v>
      </c>
      <c r="E95" t="s">
        <v>41</v>
      </c>
      <c r="F95" t="s">
        <v>71</v>
      </c>
      <c r="G95">
        <v>705.63</v>
      </c>
      <c r="H95">
        <v>160.13</v>
      </c>
      <c r="I95">
        <v>3</v>
      </c>
      <c r="J95" t="str">
        <f>TEXT(SalesData[[#This Row],[Order Date]],"mmm")</f>
        <v>Mar</v>
      </c>
      <c r="K95">
        <f>YEAR(SalesData[[#This Row],[Order Date]])</f>
        <v>2025</v>
      </c>
      <c r="L95" s="3">
        <f>SalesData[[#This Row],[Profit]]/SalesData[[#This Row],[Sales]]</f>
        <v>0.22693196150957301</v>
      </c>
    </row>
    <row r="96" spans="1:12">
      <c r="A96" t="s">
        <v>227</v>
      </c>
      <c r="B96" s="2">
        <v>45802</v>
      </c>
      <c r="C96" t="s">
        <v>228</v>
      </c>
      <c r="D96" t="s">
        <v>23</v>
      </c>
      <c r="E96" t="s">
        <v>33</v>
      </c>
      <c r="F96" t="s">
        <v>63</v>
      </c>
      <c r="G96">
        <v>848.06</v>
      </c>
      <c r="H96">
        <v>137.66999999999999</v>
      </c>
      <c r="I96">
        <v>2</v>
      </c>
      <c r="J96" t="str">
        <f>TEXT(SalesData[[#This Row],[Order Date]],"mmm")</f>
        <v>May</v>
      </c>
      <c r="K96">
        <f>YEAR(SalesData[[#This Row],[Order Date]])</f>
        <v>2025</v>
      </c>
      <c r="L96" s="3">
        <f>SalesData[[#This Row],[Profit]]/SalesData[[#This Row],[Sales]]</f>
        <v>0.16233521213121713</v>
      </c>
    </row>
    <row r="97" spans="1:12">
      <c r="A97" t="s">
        <v>229</v>
      </c>
      <c r="B97" s="2">
        <v>45936</v>
      </c>
      <c r="C97" t="s">
        <v>230</v>
      </c>
      <c r="D97" t="s">
        <v>14</v>
      </c>
      <c r="E97" t="s">
        <v>37</v>
      </c>
      <c r="F97" t="s">
        <v>85</v>
      </c>
      <c r="G97">
        <v>130.30000000000001</v>
      </c>
      <c r="H97">
        <v>29.76</v>
      </c>
      <c r="I97">
        <v>5</v>
      </c>
      <c r="J97" t="str">
        <f>TEXT(SalesData[[#This Row],[Order Date]],"mmm")</f>
        <v>Oct</v>
      </c>
      <c r="K97">
        <f>YEAR(SalesData[[#This Row],[Order Date]])</f>
        <v>2025</v>
      </c>
      <c r="L97" s="3">
        <f>SalesData[[#This Row],[Profit]]/SalesData[[#This Row],[Sales]]</f>
        <v>0.2283960092095165</v>
      </c>
    </row>
    <row r="98" spans="1:12">
      <c r="A98" t="s">
        <v>231</v>
      </c>
      <c r="B98" s="2">
        <v>45820</v>
      </c>
      <c r="C98" t="s">
        <v>232</v>
      </c>
      <c r="D98" t="s">
        <v>28</v>
      </c>
      <c r="E98" t="s">
        <v>24</v>
      </c>
      <c r="F98" t="s">
        <v>134</v>
      </c>
      <c r="G98">
        <v>1353.56</v>
      </c>
      <c r="H98">
        <v>169.53</v>
      </c>
      <c r="I98">
        <v>4</v>
      </c>
      <c r="J98" t="str">
        <f>TEXT(SalesData[[#This Row],[Order Date]],"mmm")</f>
        <v>Jun</v>
      </c>
      <c r="K98">
        <f>YEAR(SalesData[[#This Row],[Order Date]])</f>
        <v>2025</v>
      </c>
      <c r="L98" s="3">
        <f>SalesData[[#This Row],[Profit]]/SalesData[[#This Row],[Sales]]</f>
        <v>0.12524749549336564</v>
      </c>
    </row>
    <row r="99" spans="1:12">
      <c r="A99" t="s">
        <v>233</v>
      </c>
      <c r="B99" s="2">
        <v>45827</v>
      </c>
      <c r="C99" t="s">
        <v>234</v>
      </c>
      <c r="D99" t="s">
        <v>28</v>
      </c>
      <c r="E99" t="s">
        <v>15</v>
      </c>
      <c r="F99" t="s">
        <v>109</v>
      </c>
      <c r="G99">
        <v>23.06</v>
      </c>
      <c r="H99">
        <v>2.57</v>
      </c>
      <c r="I99">
        <v>1</v>
      </c>
      <c r="J99" t="str">
        <f>TEXT(SalesData[[#This Row],[Order Date]],"mmm")</f>
        <v>Jun</v>
      </c>
      <c r="K99">
        <f>YEAR(SalesData[[#This Row],[Order Date]])</f>
        <v>2025</v>
      </c>
      <c r="L99" s="3">
        <f>SalesData[[#This Row],[Profit]]/SalesData[[#This Row],[Sales]]</f>
        <v>0.11144839549002601</v>
      </c>
    </row>
    <row r="100" spans="1:12">
      <c r="A100" t="s">
        <v>235</v>
      </c>
      <c r="B100" s="2">
        <v>45737</v>
      </c>
      <c r="C100" t="s">
        <v>236</v>
      </c>
      <c r="D100" t="s">
        <v>14</v>
      </c>
      <c r="E100" t="s">
        <v>24</v>
      </c>
      <c r="F100" t="s">
        <v>88</v>
      </c>
      <c r="G100">
        <v>279</v>
      </c>
      <c r="H100">
        <v>46.23</v>
      </c>
      <c r="I100">
        <v>6</v>
      </c>
      <c r="J100" t="str">
        <f>TEXT(SalesData[[#This Row],[Order Date]],"mmm")</f>
        <v>Mar</v>
      </c>
      <c r="K100">
        <f>YEAR(SalesData[[#This Row],[Order Date]])</f>
        <v>2025</v>
      </c>
      <c r="L100" s="3">
        <f>SalesData[[#This Row],[Profit]]/SalesData[[#This Row],[Sales]]</f>
        <v>0.16569892473118278</v>
      </c>
    </row>
    <row r="101" spans="1:12">
      <c r="A101" t="s">
        <v>237</v>
      </c>
      <c r="B101" s="2">
        <v>45931</v>
      </c>
      <c r="C101" t="s">
        <v>238</v>
      </c>
      <c r="D101" t="s">
        <v>28</v>
      </c>
      <c r="E101" t="s">
        <v>37</v>
      </c>
      <c r="F101" t="s">
        <v>38</v>
      </c>
      <c r="G101">
        <v>43.8</v>
      </c>
      <c r="H101">
        <v>8.5299999999999994</v>
      </c>
      <c r="I101">
        <v>5</v>
      </c>
      <c r="J101" t="str">
        <f>TEXT(SalesData[[#This Row],[Order Date]],"mmm")</f>
        <v>Oct</v>
      </c>
      <c r="K101">
        <f>YEAR(SalesData[[#This Row],[Order Date]])</f>
        <v>2025</v>
      </c>
      <c r="L101" s="3">
        <f>SalesData[[#This Row],[Profit]]/SalesData[[#This Row],[Sales]]</f>
        <v>0.19474885844748857</v>
      </c>
    </row>
    <row r="102" spans="1:12">
      <c r="A102" t="s">
        <v>239</v>
      </c>
      <c r="B102" s="2">
        <v>45774</v>
      </c>
      <c r="C102" t="s">
        <v>240</v>
      </c>
      <c r="D102" t="s">
        <v>28</v>
      </c>
      <c r="E102" t="s">
        <v>37</v>
      </c>
      <c r="F102" t="s">
        <v>38</v>
      </c>
      <c r="G102">
        <v>56.6</v>
      </c>
      <c r="H102">
        <v>-4.0999999999999996</v>
      </c>
      <c r="I102">
        <v>4</v>
      </c>
      <c r="J102" t="str">
        <f>TEXT(SalesData[[#This Row],[Order Date]],"mmm")</f>
        <v>Apr</v>
      </c>
      <c r="K102">
        <f>YEAR(SalesData[[#This Row],[Order Date]])</f>
        <v>2025</v>
      </c>
      <c r="L102" s="3">
        <f>SalesData[[#This Row],[Profit]]/SalesData[[#This Row],[Sales]]</f>
        <v>-7.2438162544169599E-2</v>
      </c>
    </row>
    <row r="103" spans="1:12">
      <c r="A103" t="s">
        <v>241</v>
      </c>
      <c r="B103" s="2">
        <v>45824</v>
      </c>
      <c r="C103" t="s">
        <v>242</v>
      </c>
      <c r="D103" t="s">
        <v>14</v>
      </c>
      <c r="E103" t="s">
        <v>24</v>
      </c>
      <c r="F103" t="s">
        <v>88</v>
      </c>
      <c r="G103">
        <v>201.18</v>
      </c>
      <c r="H103">
        <v>36.700000000000003</v>
      </c>
      <c r="I103">
        <v>2</v>
      </c>
      <c r="J103" t="str">
        <f>TEXT(SalesData[[#This Row],[Order Date]],"mmm")</f>
        <v>Jun</v>
      </c>
      <c r="K103">
        <f>YEAR(SalesData[[#This Row],[Order Date]])</f>
        <v>2025</v>
      </c>
      <c r="L103" s="3">
        <f>SalesData[[#This Row],[Profit]]/SalesData[[#This Row],[Sales]]</f>
        <v>0.18242370016900289</v>
      </c>
    </row>
    <row r="104" spans="1:12">
      <c r="A104" t="s">
        <v>243</v>
      </c>
      <c r="B104" s="2">
        <v>45750</v>
      </c>
      <c r="C104" t="s">
        <v>244</v>
      </c>
      <c r="D104" t="s">
        <v>32</v>
      </c>
      <c r="E104" t="s">
        <v>41</v>
      </c>
      <c r="F104" t="s">
        <v>71</v>
      </c>
      <c r="G104">
        <v>893.55</v>
      </c>
      <c r="H104">
        <v>200.53</v>
      </c>
      <c r="I104">
        <v>5</v>
      </c>
      <c r="J104" t="str">
        <f>TEXT(SalesData[[#This Row],[Order Date]],"mmm")</f>
        <v>Apr</v>
      </c>
      <c r="K104">
        <f>YEAR(SalesData[[#This Row],[Order Date]])</f>
        <v>2025</v>
      </c>
      <c r="L104" s="3">
        <f>SalesData[[#This Row],[Profit]]/SalesData[[#This Row],[Sales]]</f>
        <v>0.22441945050640705</v>
      </c>
    </row>
    <row r="105" spans="1:12">
      <c r="A105" t="s">
        <v>245</v>
      </c>
      <c r="B105" s="2">
        <v>45776</v>
      </c>
      <c r="C105" t="s">
        <v>146</v>
      </c>
      <c r="D105" t="s">
        <v>28</v>
      </c>
      <c r="E105" t="s">
        <v>24</v>
      </c>
      <c r="F105" t="s">
        <v>25</v>
      </c>
      <c r="G105">
        <v>1269.5999999999999</v>
      </c>
      <c r="H105">
        <v>299.02</v>
      </c>
      <c r="I105">
        <v>4</v>
      </c>
      <c r="J105" t="str">
        <f>TEXT(SalesData[[#This Row],[Order Date]],"mmm")</f>
        <v>Apr</v>
      </c>
      <c r="K105">
        <f>YEAR(SalesData[[#This Row],[Order Date]])</f>
        <v>2025</v>
      </c>
      <c r="L105" s="3">
        <f>SalesData[[#This Row],[Profit]]/SalesData[[#This Row],[Sales]]</f>
        <v>0.23552299936988028</v>
      </c>
    </row>
    <row r="106" spans="1:12">
      <c r="A106" t="s">
        <v>246</v>
      </c>
      <c r="B106" s="2">
        <v>45884</v>
      </c>
      <c r="C106" t="s">
        <v>247</v>
      </c>
      <c r="D106" t="s">
        <v>14</v>
      </c>
      <c r="E106" t="s">
        <v>41</v>
      </c>
      <c r="F106" t="s">
        <v>71</v>
      </c>
      <c r="G106">
        <v>487.62</v>
      </c>
      <c r="H106">
        <v>151.81</v>
      </c>
      <c r="I106">
        <v>6</v>
      </c>
      <c r="J106" t="str">
        <f>TEXT(SalesData[[#This Row],[Order Date]],"mmm")</f>
        <v>Aug</v>
      </c>
      <c r="K106">
        <f>YEAR(SalesData[[#This Row],[Order Date]])</f>
        <v>2025</v>
      </c>
      <c r="L106" s="3">
        <f>SalesData[[#This Row],[Profit]]/SalesData[[#This Row],[Sales]]</f>
        <v>0.31132849349903613</v>
      </c>
    </row>
    <row r="107" spans="1:12">
      <c r="A107" t="s">
        <v>248</v>
      </c>
      <c r="B107" s="2">
        <v>45854</v>
      </c>
      <c r="C107" t="s">
        <v>249</v>
      </c>
      <c r="D107" t="s">
        <v>32</v>
      </c>
      <c r="E107" t="s">
        <v>15</v>
      </c>
      <c r="F107" t="s">
        <v>20</v>
      </c>
      <c r="G107">
        <v>58.11</v>
      </c>
      <c r="H107">
        <v>11.56</v>
      </c>
      <c r="I107">
        <v>3</v>
      </c>
      <c r="J107" t="str">
        <f>TEXT(SalesData[[#This Row],[Order Date]],"mmm")</f>
        <v>Jul</v>
      </c>
      <c r="K107">
        <f>YEAR(SalesData[[#This Row],[Order Date]])</f>
        <v>2025</v>
      </c>
      <c r="L107" s="3">
        <f>SalesData[[#This Row],[Profit]]/SalesData[[#This Row],[Sales]]</f>
        <v>0.1989330579934607</v>
      </c>
    </row>
    <row r="108" spans="1:12">
      <c r="A108" t="s">
        <v>250</v>
      </c>
      <c r="B108" s="2">
        <v>45995</v>
      </c>
      <c r="C108" t="s">
        <v>44</v>
      </c>
      <c r="D108" t="s">
        <v>32</v>
      </c>
      <c r="E108" t="s">
        <v>33</v>
      </c>
      <c r="F108" t="s">
        <v>52</v>
      </c>
      <c r="G108">
        <v>4595.2299999999996</v>
      </c>
      <c r="H108">
        <v>1072.98</v>
      </c>
      <c r="I108">
        <v>5</v>
      </c>
      <c r="J108" t="str">
        <f>TEXT(SalesData[[#This Row],[Order Date]],"mmm")</f>
        <v>Dec</v>
      </c>
      <c r="K108">
        <f>YEAR(SalesData[[#This Row],[Order Date]])</f>
        <v>2025</v>
      </c>
      <c r="L108" s="3">
        <f>SalesData[[#This Row],[Profit]]/SalesData[[#This Row],[Sales]]</f>
        <v>0.23349864968674042</v>
      </c>
    </row>
    <row r="109" spans="1:12">
      <c r="A109" t="s">
        <v>251</v>
      </c>
      <c r="B109" s="2">
        <v>45775</v>
      </c>
      <c r="C109" t="s">
        <v>252</v>
      </c>
      <c r="D109" t="s">
        <v>19</v>
      </c>
      <c r="E109" t="s">
        <v>41</v>
      </c>
      <c r="F109" t="s">
        <v>68</v>
      </c>
      <c r="G109">
        <v>532.5</v>
      </c>
      <c r="H109">
        <v>149.22</v>
      </c>
      <c r="I109">
        <v>3</v>
      </c>
      <c r="J109" t="str">
        <f>TEXT(SalesData[[#This Row],[Order Date]],"mmm")</f>
        <v>Apr</v>
      </c>
      <c r="K109">
        <f>YEAR(SalesData[[#This Row],[Order Date]])</f>
        <v>2025</v>
      </c>
      <c r="L109" s="3">
        <f>SalesData[[#This Row],[Profit]]/SalesData[[#This Row],[Sales]]</f>
        <v>0.28022535211267607</v>
      </c>
    </row>
    <row r="110" spans="1:12">
      <c r="A110" t="s">
        <v>253</v>
      </c>
      <c r="B110" s="2">
        <v>45728</v>
      </c>
      <c r="C110" t="s">
        <v>254</v>
      </c>
      <c r="D110" t="s">
        <v>32</v>
      </c>
      <c r="E110" t="s">
        <v>24</v>
      </c>
      <c r="F110" t="s">
        <v>88</v>
      </c>
      <c r="G110">
        <v>211.26</v>
      </c>
      <c r="H110">
        <v>52.07</v>
      </c>
      <c r="I110">
        <v>1</v>
      </c>
      <c r="J110" t="str">
        <f>TEXT(SalesData[[#This Row],[Order Date]],"mmm")</f>
        <v>Mar</v>
      </c>
      <c r="K110">
        <f>YEAR(SalesData[[#This Row],[Order Date]])</f>
        <v>2025</v>
      </c>
      <c r="L110" s="3">
        <f>SalesData[[#This Row],[Profit]]/SalesData[[#This Row],[Sales]]</f>
        <v>0.24647353971409638</v>
      </c>
    </row>
    <row r="111" spans="1:12">
      <c r="A111" t="s">
        <v>255</v>
      </c>
      <c r="B111" s="2">
        <v>45809</v>
      </c>
      <c r="C111" t="s">
        <v>256</v>
      </c>
      <c r="D111" t="s">
        <v>19</v>
      </c>
      <c r="E111" t="s">
        <v>15</v>
      </c>
      <c r="F111" t="s">
        <v>20</v>
      </c>
      <c r="G111">
        <v>54.81</v>
      </c>
      <c r="H111">
        <v>10.25</v>
      </c>
      <c r="I111">
        <v>3</v>
      </c>
      <c r="J111" t="str">
        <f>TEXT(SalesData[[#This Row],[Order Date]],"mmm")</f>
        <v>Jun</v>
      </c>
      <c r="K111">
        <f>YEAR(SalesData[[#This Row],[Order Date]])</f>
        <v>2025</v>
      </c>
      <c r="L111" s="3">
        <f>SalesData[[#This Row],[Profit]]/SalesData[[#This Row],[Sales]]</f>
        <v>0.18700966976829045</v>
      </c>
    </row>
    <row r="112" spans="1:12">
      <c r="A112" t="s">
        <v>257</v>
      </c>
      <c r="B112" s="2">
        <v>45789</v>
      </c>
      <c r="C112" t="s">
        <v>258</v>
      </c>
      <c r="D112" t="s">
        <v>14</v>
      </c>
      <c r="E112" t="s">
        <v>41</v>
      </c>
      <c r="F112" t="s">
        <v>58</v>
      </c>
      <c r="G112">
        <v>130.37</v>
      </c>
      <c r="H112">
        <v>15.49</v>
      </c>
      <c r="I112">
        <v>1</v>
      </c>
      <c r="J112" t="str">
        <f>TEXT(SalesData[[#This Row],[Order Date]],"mmm")</f>
        <v>May</v>
      </c>
      <c r="K112">
        <f>YEAR(SalesData[[#This Row],[Order Date]])</f>
        <v>2025</v>
      </c>
      <c r="L112" s="3">
        <f>SalesData[[#This Row],[Profit]]/SalesData[[#This Row],[Sales]]</f>
        <v>0.11881567845363197</v>
      </c>
    </row>
    <row r="113" spans="1:12">
      <c r="A113" t="s">
        <v>259</v>
      </c>
      <c r="B113" s="2">
        <v>45773</v>
      </c>
      <c r="C113" t="s">
        <v>260</v>
      </c>
      <c r="D113" t="s">
        <v>23</v>
      </c>
      <c r="E113" t="s">
        <v>24</v>
      </c>
      <c r="F113" t="s">
        <v>88</v>
      </c>
      <c r="G113">
        <v>107.27</v>
      </c>
      <c r="H113">
        <v>13.38</v>
      </c>
      <c r="I113">
        <v>1</v>
      </c>
      <c r="J113" t="str">
        <f>TEXT(SalesData[[#This Row],[Order Date]],"mmm")</f>
        <v>Apr</v>
      </c>
      <c r="K113">
        <f>YEAR(SalesData[[#This Row],[Order Date]])</f>
        <v>2025</v>
      </c>
      <c r="L113" s="3">
        <f>SalesData[[#This Row],[Profit]]/SalesData[[#This Row],[Sales]]</f>
        <v>0.12473198471147573</v>
      </c>
    </row>
    <row r="114" spans="1:12">
      <c r="A114" t="s">
        <v>261</v>
      </c>
      <c r="B114" s="2">
        <v>46002</v>
      </c>
      <c r="C114" t="s">
        <v>262</v>
      </c>
      <c r="D114" t="s">
        <v>28</v>
      </c>
      <c r="E114" t="s">
        <v>41</v>
      </c>
      <c r="F114" t="s">
        <v>58</v>
      </c>
      <c r="G114">
        <v>219.54</v>
      </c>
      <c r="H114">
        <v>55.96</v>
      </c>
      <c r="I114">
        <v>1</v>
      </c>
      <c r="J114" t="str">
        <f>TEXT(SalesData[[#This Row],[Order Date]],"mmm")</f>
        <v>Dec</v>
      </c>
      <c r="K114">
        <f>YEAR(SalesData[[#This Row],[Order Date]])</f>
        <v>2025</v>
      </c>
      <c r="L114" s="3">
        <f>SalesData[[#This Row],[Profit]]/SalesData[[#This Row],[Sales]]</f>
        <v>0.25489660198597069</v>
      </c>
    </row>
    <row r="115" spans="1:12">
      <c r="A115" t="s">
        <v>263</v>
      </c>
      <c r="B115" s="2">
        <v>45825</v>
      </c>
      <c r="C115" t="s">
        <v>264</v>
      </c>
      <c r="D115" t="s">
        <v>19</v>
      </c>
      <c r="E115" t="s">
        <v>41</v>
      </c>
      <c r="F115" t="s">
        <v>71</v>
      </c>
      <c r="G115">
        <v>557.94000000000005</v>
      </c>
      <c r="H115">
        <v>112.75</v>
      </c>
      <c r="I115">
        <v>6</v>
      </c>
      <c r="J115" t="str">
        <f>TEXT(SalesData[[#This Row],[Order Date]],"mmm")</f>
        <v>Jun</v>
      </c>
      <c r="K115">
        <f>YEAR(SalesData[[#This Row],[Order Date]])</f>
        <v>2025</v>
      </c>
      <c r="L115" s="3">
        <f>SalesData[[#This Row],[Profit]]/SalesData[[#This Row],[Sales]]</f>
        <v>0.2020826612180521</v>
      </c>
    </row>
    <row r="116" spans="1:12">
      <c r="A116" t="s">
        <v>265</v>
      </c>
      <c r="B116" s="2">
        <v>45677</v>
      </c>
      <c r="C116" t="s">
        <v>266</v>
      </c>
      <c r="D116" t="s">
        <v>32</v>
      </c>
      <c r="E116" t="s">
        <v>15</v>
      </c>
      <c r="F116" t="s">
        <v>20</v>
      </c>
      <c r="G116">
        <v>29.44</v>
      </c>
      <c r="H116">
        <v>3.11</v>
      </c>
      <c r="I116">
        <v>2</v>
      </c>
      <c r="J116" t="str">
        <f>TEXT(SalesData[[#This Row],[Order Date]],"mmm")</f>
        <v>Jan</v>
      </c>
      <c r="K116">
        <f>YEAR(SalesData[[#This Row],[Order Date]])</f>
        <v>2025</v>
      </c>
      <c r="L116" s="3">
        <f>SalesData[[#This Row],[Profit]]/SalesData[[#This Row],[Sales]]</f>
        <v>0.10563858695652173</v>
      </c>
    </row>
    <row r="117" spans="1:12">
      <c r="A117" t="s">
        <v>267</v>
      </c>
      <c r="B117" s="2">
        <v>46014</v>
      </c>
      <c r="C117" t="s">
        <v>268</v>
      </c>
      <c r="D117" t="s">
        <v>23</v>
      </c>
      <c r="E117" t="s">
        <v>41</v>
      </c>
      <c r="F117" t="s">
        <v>158</v>
      </c>
      <c r="G117">
        <v>930.82</v>
      </c>
      <c r="H117">
        <v>236.35</v>
      </c>
      <c r="I117">
        <v>4</v>
      </c>
      <c r="J117" t="str">
        <f>TEXT(SalesData[[#This Row],[Order Date]],"mmm")</f>
        <v>Dec</v>
      </c>
      <c r="K117">
        <f>YEAR(SalesData[[#This Row],[Order Date]])</f>
        <v>2025</v>
      </c>
      <c r="L117" s="3">
        <f>SalesData[[#This Row],[Profit]]/SalesData[[#This Row],[Sales]]</f>
        <v>0.25391590210781889</v>
      </c>
    </row>
    <row r="118" spans="1:12">
      <c r="A118" t="s">
        <v>269</v>
      </c>
      <c r="B118" s="2">
        <v>45801</v>
      </c>
      <c r="C118" t="s">
        <v>270</v>
      </c>
      <c r="D118" t="s">
        <v>19</v>
      </c>
      <c r="E118" t="s">
        <v>24</v>
      </c>
      <c r="F118" t="s">
        <v>134</v>
      </c>
      <c r="G118">
        <v>158.37</v>
      </c>
      <c r="H118">
        <v>37.56</v>
      </c>
      <c r="I118">
        <v>3</v>
      </c>
      <c r="J118" t="str">
        <f>TEXT(SalesData[[#This Row],[Order Date]],"mmm")</f>
        <v>May</v>
      </c>
      <c r="K118">
        <f>YEAR(SalesData[[#This Row],[Order Date]])</f>
        <v>2025</v>
      </c>
      <c r="L118" s="3">
        <f>SalesData[[#This Row],[Profit]]/SalesData[[#This Row],[Sales]]</f>
        <v>0.23716612994885397</v>
      </c>
    </row>
    <row r="119" spans="1:12">
      <c r="A119" t="s">
        <v>271</v>
      </c>
      <c r="B119" s="2">
        <v>45988</v>
      </c>
      <c r="C119" t="s">
        <v>272</v>
      </c>
      <c r="D119" t="s">
        <v>28</v>
      </c>
      <c r="E119" t="s">
        <v>24</v>
      </c>
      <c r="F119" t="s">
        <v>25</v>
      </c>
      <c r="G119">
        <v>233.89</v>
      </c>
      <c r="H119">
        <v>53.3</v>
      </c>
      <c r="I119">
        <v>4</v>
      </c>
      <c r="J119" t="str">
        <f>TEXT(SalesData[[#This Row],[Order Date]],"mmm")</f>
        <v>Nov</v>
      </c>
      <c r="K119">
        <f>YEAR(SalesData[[#This Row],[Order Date]])</f>
        <v>2025</v>
      </c>
      <c r="L119" s="3">
        <f>SalesData[[#This Row],[Profit]]/SalesData[[#This Row],[Sales]]</f>
        <v>0.22788490315960494</v>
      </c>
    </row>
    <row r="120" spans="1:12">
      <c r="A120" t="s">
        <v>273</v>
      </c>
      <c r="B120" s="2">
        <v>45683</v>
      </c>
      <c r="C120" t="s">
        <v>274</v>
      </c>
      <c r="D120" t="s">
        <v>19</v>
      </c>
      <c r="E120" t="s">
        <v>37</v>
      </c>
      <c r="F120" t="s">
        <v>194</v>
      </c>
      <c r="G120">
        <v>17.54</v>
      </c>
      <c r="H120">
        <v>3.77</v>
      </c>
      <c r="I120">
        <v>2</v>
      </c>
      <c r="J120" t="str">
        <f>TEXT(SalesData[[#This Row],[Order Date]],"mmm")</f>
        <v>Jan</v>
      </c>
      <c r="K120">
        <f>YEAR(SalesData[[#This Row],[Order Date]])</f>
        <v>2025</v>
      </c>
      <c r="L120" s="3">
        <f>SalesData[[#This Row],[Profit]]/SalesData[[#This Row],[Sales]]</f>
        <v>0.21493728620296465</v>
      </c>
    </row>
    <row r="121" spans="1:12">
      <c r="A121" t="s">
        <v>275</v>
      </c>
      <c r="B121" s="2">
        <v>45768</v>
      </c>
      <c r="C121" t="s">
        <v>276</v>
      </c>
      <c r="D121" t="s">
        <v>14</v>
      </c>
      <c r="E121" t="s">
        <v>41</v>
      </c>
      <c r="F121" t="s">
        <v>68</v>
      </c>
      <c r="G121">
        <v>87.39</v>
      </c>
      <c r="H121">
        <v>30.24</v>
      </c>
      <c r="I121">
        <v>1</v>
      </c>
      <c r="J121" t="str">
        <f>TEXT(SalesData[[#This Row],[Order Date]],"mmm")</f>
        <v>Apr</v>
      </c>
      <c r="K121">
        <f>YEAR(SalesData[[#This Row],[Order Date]])</f>
        <v>2025</v>
      </c>
      <c r="L121" s="3">
        <f>SalesData[[#This Row],[Profit]]/SalesData[[#This Row],[Sales]]</f>
        <v>0.34603501544799176</v>
      </c>
    </row>
    <row r="122" spans="1:12">
      <c r="A122" t="s">
        <v>277</v>
      </c>
      <c r="B122" s="2">
        <v>45934</v>
      </c>
      <c r="C122" t="s">
        <v>278</v>
      </c>
      <c r="D122" t="s">
        <v>32</v>
      </c>
      <c r="E122" t="s">
        <v>41</v>
      </c>
      <c r="F122" t="s">
        <v>42</v>
      </c>
      <c r="G122">
        <v>56.68</v>
      </c>
      <c r="H122">
        <v>16.86</v>
      </c>
      <c r="I122">
        <v>2</v>
      </c>
      <c r="J122" t="str">
        <f>TEXT(SalesData[[#This Row],[Order Date]],"mmm")</f>
        <v>Oct</v>
      </c>
      <c r="K122">
        <f>YEAR(SalesData[[#This Row],[Order Date]])</f>
        <v>2025</v>
      </c>
      <c r="L122" s="3">
        <f>SalesData[[#This Row],[Profit]]/SalesData[[#This Row],[Sales]]</f>
        <v>0.29745942131263231</v>
      </c>
    </row>
    <row r="123" spans="1:12">
      <c r="A123" t="s">
        <v>279</v>
      </c>
      <c r="B123" s="2">
        <v>45823</v>
      </c>
      <c r="C123" t="s">
        <v>280</v>
      </c>
      <c r="D123" t="s">
        <v>14</v>
      </c>
      <c r="E123" t="s">
        <v>15</v>
      </c>
      <c r="F123" t="s">
        <v>109</v>
      </c>
      <c r="G123">
        <v>39.200000000000003</v>
      </c>
      <c r="H123">
        <v>2.33</v>
      </c>
      <c r="I123">
        <v>5</v>
      </c>
      <c r="J123" t="str">
        <f>TEXT(SalesData[[#This Row],[Order Date]],"mmm")</f>
        <v>Jun</v>
      </c>
      <c r="K123">
        <f>YEAR(SalesData[[#This Row],[Order Date]])</f>
        <v>2025</v>
      </c>
      <c r="L123" s="3">
        <f>SalesData[[#This Row],[Profit]]/SalesData[[#This Row],[Sales]]</f>
        <v>5.943877551020408E-2</v>
      </c>
    </row>
    <row r="124" spans="1:12">
      <c r="A124" t="s">
        <v>281</v>
      </c>
      <c r="B124" s="2">
        <v>45843</v>
      </c>
      <c r="C124" t="s">
        <v>282</v>
      </c>
      <c r="D124" t="s">
        <v>32</v>
      </c>
      <c r="E124" t="s">
        <v>33</v>
      </c>
      <c r="F124" t="s">
        <v>170</v>
      </c>
      <c r="G124">
        <v>386.45</v>
      </c>
      <c r="H124">
        <v>82.37</v>
      </c>
      <c r="I124">
        <v>5</v>
      </c>
      <c r="J124" t="str">
        <f>TEXT(SalesData[[#This Row],[Order Date]],"mmm")</f>
        <v>Jul</v>
      </c>
      <c r="K124">
        <f>YEAR(SalesData[[#This Row],[Order Date]])</f>
        <v>2025</v>
      </c>
      <c r="L124" s="3">
        <f>SalesData[[#This Row],[Profit]]/SalesData[[#This Row],[Sales]]</f>
        <v>0.21314529693362663</v>
      </c>
    </row>
    <row r="125" spans="1:12">
      <c r="A125" t="s">
        <v>283</v>
      </c>
      <c r="B125" s="2">
        <v>45924</v>
      </c>
      <c r="C125" t="s">
        <v>99</v>
      </c>
      <c r="D125" t="s">
        <v>32</v>
      </c>
      <c r="E125" t="s">
        <v>15</v>
      </c>
      <c r="F125" t="s">
        <v>109</v>
      </c>
      <c r="G125">
        <v>62.64</v>
      </c>
      <c r="H125">
        <v>4.1500000000000004</v>
      </c>
      <c r="I125">
        <v>4</v>
      </c>
      <c r="J125" t="str">
        <f>TEXT(SalesData[[#This Row],[Order Date]],"mmm")</f>
        <v>Sep</v>
      </c>
      <c r="K125">
        <f>YEAR(SalesData[[#This Row],[Order Date]])</f>
        <v>2025</v>
      </c>
      <c r="L125" s="3">
        <f>SalesData[[#This Row],[Profit]]/SalesData[[#This Row],[Sales]]</f>
        <v>6.6251596424010226E-2</v>
      </c>
    </row>
    <row r="126" spans="1:12">
      <c r="A126" t="s">
        <v>284</v>
      </c>
      <c r="B126" s="2">
        <v>45885</v>
      </c>
      <c r="C126" t="s">
        <v>285</v>
      </c>
      <c r="D126" t="s">
        <v>14</v>
      </c>
      <c r="E126" t="s">
        <v>41</v>
      </c>
      <c r="F126" t="s">
        <v>42</v>
      </c>
      <c r="G126">
        <v>173.76</v>
      </c>
      <c r="H126">
        <v>44.88</v>
      </c>
      <c r="I126">
        <v>2</v>
      </c>
      <c r="J126" t="str">
        <f>TEXT(SalesData[[#This Row],[Order Date]],"mmm")</f>
        <v>Aug</v>
      </c>
      <c r="K126">
        <f>YEAR(SalesData[[#This Row],[Order Date]])</f>
        <v>2025</v>
      </c>
      <c r="L126" s="3">
        <f>SalesData[[#This Row],[Profit]]/SalesData[[#This Row],[Sales]]</f>
        <v>0.25828729281767959</v>
      </c>
    </row>
    <row r="127" spans="1:12">
      <c r="A127" t="s">
        <v>286</v>
      </c>
      <c r="B127" s="2">
        <v>45824</v>
      </c>
      <c r="C127" t="s">
        <v>287</v>
      </c>
      <c r="D127" t="s">
        <v>23</v>
      </c>
      <c r="E127" t="s">
        <v>24</v>
      </c>
      <c r="F127" t="s">
        <v>55</v>
      </c>
      <c r="G127">
        <v>809.85</v>
      </c>
      <c r="H127">
        <v>209.44</v>
      </c>
      <c r="I127">
        <v>5</v>
      </c>
      <c r="J127" t="str">
        <f>TEXT(SalesData[[#This Row],[Order Date]],"mmm")</f>
        <v>Jun</v>
      </c>
      <c r="K127">
        <f>YEAR(SalesData[[#This Row],[Order Date]])</f>
        <v>2025</v>
      </c>
      <c r="L127" s="3">
        <f>SalesData[[#This Row],[Profit]]/SalesData[[#This Row],[Sales]]</f>
        <v>0.25861579304809534</v>
      </c>
    </row>
    <row r="128" spans="1:12">
      <c r="A128" t="s">
        <v>288</v>
      </c>
      <c r="B128" s="2">
        <v>45993</v>
      </c>
      <c r="C128" t="s">
        <v>289</v>
      </c>
      <c r="D128" t="s">
        <v>19</v>
      </c>
      <c r="E128" t="s">
        <v>24</v>
      </c>
      <c r="F128" t="s">
        <v>134</v>
      </c>
      <c r="G128">
        <v>651.89</v>
      </c>
      <c r="H128">
        <v>119.42</v>
      </c>
      <c r="I128">
        <v>4</v>
      </c>
      <c r="J128" t="str">
        <f>TEXT(SalesData[[#This Row],[Order Date]],"mmm")</f>
        <v>Dec</v>
      </c>
      <c r="K128">
        <f>YEAR(SalesData[[#This Row],[Order Date]])</f>
        <v>2025</v>
      </c>
      <c r="L128" s="3">
        <f>SalesData[[#This Row],[Profit]]/SalesData[[#This Row],[Sales]]</f>
        <v>0.18319041556090751</v>
      </c>
    </row>
    <row r="129" spans="1:12">
      <c r="A129" t="s">
        <v>290</v>
      </c>
      <c r="B129" s="2">
        <v>45876</v>
      </c>
      <c r="C129" t="s">
        <v>291</v>
      </c>
      <c r="D129" t="s">
        <v>14</v>
      </c>
      <c r="E129" t="s">
        <v>37</v>
      </c>
      <c r="F129" t="s">
        <v>155</v>
      </c>
      <c r="G129">
        <v>10.02</v>
      </c>
      <c r="H129">
        <v>1.1299999999999999</v>
      </c>
      <c r="I129">
        <v>1</v>
      </c>
      <c r="J129" t="str">
        <f>TEXT(SalesData[[#This Row],[Order Date]],"mmm")</f>
        <v>Aug</v>
      </c>
      <c r="K129">
        <f>YEAR(SalesData[[#This Row],[Order Date]])</f>
        <v>2025</v>
      </c>
      <c r="L129" s="3">
        <f>SalesData[[#This Row],[Profit]]/SalesData[[#This Row],[Sales]]</f>
        <v>0.11277445109780439</v>
      </c>
    </row>
    <row r="130" spans="1:12">
      <c r="A130" t="s">
        <v>292</v>
      </c>
      <c r="B130" s="2">
        <v>45848</v>
      </c>
      <c r="C130" t="s">
        <v>293</v>
      </c>
      <c r="D130" t="s">
        <v>23</v>
      </c>
      <c r="E130" t="s">
        <v>15</v>
      </c>
      <c r="F130" t="s">
        <v>20</v>
      </c>
      <c r="G130">
        <v>66.2</v>
      </c>
      <c r="H130">
        <v>4.5199999999999996</v>
      </c>
      <c r="I130">
        <v>5</v>
      </c>
      <c r="J130" t="str">
        <f>TEXT(SalesData[[#This Row],[Order Date]],"mmm")</f>
        <v>Jul</v>
      </c>
      <c r="K130">
        <f>YEAR(SalesData[[#This Row],[Order Date]])</f>
        <v>2025</v>
      </c>
      <c r="L130" s="3">
        <f>SalesData[[#This Row],[Profit]]/SalesData[[#This Row],[Sales]]</f>
        <v>6.827794561933534E-2</v>
      </c>
    </row>
    <row r="131" spans="1:12">
      <c r="A131" t="s">
        <v>294</v>
      </c>
      <c r="B131" s="2">
        <v>45998</v>
      </c>
      <c r="C131" t="s">
        <v>295</v>
      </c>
      <c r="D131" t="s">
        <v>32</v>
      </c>
      <c r="E131" t="s">
        <v>37</v>
      </c>
      <c r="F131" t="s">
        <v>194</v>
      </c>
      <c r="G131">
        <v>92.98</v>
      </c>
      <c r="H131">
        <v>12.27</v>
      </c>
      <c r="I131">
        <v>3</v>
      </c>
      <c r="J131" t="str">
        <f>TEXT(SalesData[[#This Row],[Order Date]],"mmm")</f>
        <v>Dec</v>
      </c>
      <c r="K131">
        <f>YEAR(SalesData[[#This Row],[Order Date]])</f>
        <v>2025</v>
      </c>
      <c r="L131" s="3">
        <f>SalesData[[#This Row],[Profit]]/SalesData[[#This Row],[Sales]]</f>
        <v>0.13196386319638631</v>
      </c>
    </row>
    <row r="132" spans="1:12">
      <c r="A132" t="s">
        <v>296</v>
      </c>
      <c r="B132" s="2">
        <v>45772</v>
      </c>
      <c r="C132" t="s">
        <v>234</v>
      </c>
      <c r="D132" t="s">
        <v>14</v>
      </c>
      <c r="E132" t="s">
        <v>41</v>
      </c>
      <c r="F132" t="s">
        <v>58</v>
      </c>
      <c r="G132">
        <v>196.59</v>
      </c>
      <c r="H132">
        <v>47.87</v>
      </c>
      <c r="I132">
        <v>1</v>
      </c>
      <c r="J132" t="str">
        <f>TEXT(SalesData[[#This Row],[Order Date]],"mmm")</f>
        <v>Apr</v>
      </c>
      <c r="K132">
        <f>YEAR(SalesData[[#This Row],[Order Date]])</f>
        <v>2025</v>
      </c>
      <c r="L132" s="3">
        <f>SalesData[[#This Row],[Profit]]/SalesData[[#This Row],[Sales]]</f>
        <v>0.24350170405412278</v>
      </c>
    </row>
    <row r="133" spans="1:12">
      <c r="A133" t="s">
        <v>297</v>
      </c>
      <c r="B133" s="2">
        <v>45945</v>
      </c>
      <c r="C133" t="s">
        <v>298</v>
      </c>
      <c r="D133" t="s">
        <v>23</v>
      </c>
      <c r="E133" t="s">
        <v>41</v>
      </c>
      <c r="F133" t="s">
        <v>68</v>
      </c>
      <c r="G133">
        <v>162.02000000000001</v>
      </c>
      <c r="H133">
        <v>42.85</v>
      </c>
      <c r="I133">
        <v>1</v>
      </c>
      <c r="J133" t="str">
        <f>TEXT(SalesData[[#This Row],[Order Date]],"mmm")</f>
        <v>Oct</v>
      </c>
      <c r="K133">
        <f>YEAR(SalesData[[#This Row],[Order Date]])</f>
        <v>2025</v>
      </c>
      <c r="L133" s="3">
        <f>SalesData[[#This Row],[Profit]]/SalesData[[#This Row],[Sales]]</f>
        <v>0.26447352178743366</v>
      </c>
    </row>
    <row r="134" spans="1:12">
      <c r="A134" t="s">
        <v>299</v>
      </c>
      <c r="B134" s="2">
        <v>45672</v>
      </c>
      <c r="C134" t="s">
        <v>81</v>
      </c>
      <c r="D134" t="s">
        <v>14</v>
      </c>
      <c r="E134" t="s">
        <v>37</v>
      </c>
      <c r="F134" t="s">
        <v>47</v>
      </c>
      <c r="G134">
        <v>14.98</v>
      </c>
      <c r="H134">
        <v>1.82</v>
      </c>
      <c r="I134">
        <v>1</v>
      </c>
      <c r="J134" t="str">
        <f>TEXT(SalesData[[#This Row],[Order Date]],"mmm")</f>
        <v>Jan</v>
      </c>
      <c r="K134">
        <f>YEAR(SalesData[[#This Row],[Order Date]])</f>
        <v>2025</v>
      </c>
      <c r="L134" s="3">
        <f>SalesData[[#This Row],[Profit]]/SalesData[[#This Row],[Sales]]</f>
        <v>0.12149532710280374</v>
      </c>
    </row>
    <row r="135" spans="1:12">
      <c r="A135" t="s">
        <v>300</v>
      </c>
      <c r="B135" s="2">
        <v>45693</v>
      </c>
      <c r="C135" t="s">
        <v>301</v>
      </c>
      <c r="D135" t="s">
        <v>32</v>
      </c>
      <c r="E135" t="s">
        <v>41</v>
      </c>
      <c r="F135" t="s">
        <v>158</v>
      </c>
      <c r="G135">
        <v>477.84</v>
      </c>
      <c r="H135">
        <v>88.51</v>
      </c>
      <c r="I135">
        <v>4</v>
      </c>
      <c r="J135" t="str">
        <f>TEXT(SalesData[[#This Row],[Order Date]],"mmm")</f>
        <v>Feb</v>
      </c>
      <c r="K135">
        <f>YEAR(SalesData[[#This Row],[Order Date]])</f>
        <v>2025</v>
      </c>
      <c r="L135" s="3">
        <f>SalesData[[#This Row],[Profit]]/SalesData[[#This Row],[Sales]]</f>
        <v>0.18522936547798427</v>
      </c>
    </row>
    <row r="136" spans="1:12">
      <c r="A136" t="s">
        <v>302</v>
      </c>
      <c r="B136" s="2">
        <v>45824</v>
      </c>
      <c r="C136" t="s">
        <v>303</v>
      </c>
      <c r="D136" t="s">
        <v>23</v>
      </c>
      <c r="E136" t="s">
        <v>15</v>
      </c>
      <c r="F136" t="s">
        <v>82</v>
      </c>
      <c r="G136">
        <v>17.88</v>
      </c>
      <c r="H136">
        <v>2.5499999999999998</v>
      </c>
      <c r="I136">
        <v>2</v>
      </c>
      <c r="J136" t="str">
        <f>TEXT(SalesData[[#This Row],[Order Date]],"mmm")</f>
        <v>Jun</v>
      </c>
      <c r="K136">
        <f>YEAR(SalesData[[#This Row],[Order Date]])</f>
        <v>2025</v>
      </c>
      <c r="L136" s="3">
        <f>SalesData[[#This Row],[Profit]]/SalesData[[#This Row],[Sales]]</f>
        <v>0.14261744966442952</v>
      </c>
    </row>
    <row r="137" spans="1:12">
      <c r="A137" t="s">
        <v>304</v>
      </c>
      <c r="B137" s="2">
        <v>45797</v>
      </c>
      <c r="C137" t="s">
        <v>305</v>
      </c>
      <c r="D137" t="s">
        <v>28</v>
      </c>
      <c r="E137" t="s">
        <v>41</v>
      </c>
      <c r="F137" t="s">
        <v>71</v>
      </c>
      <c r="G137">
        <v>220.5</v>
      </c>
      <c r="H137">
        <v>50.29</v>
      </c>
      <c r="I137">
        <v>3</v>
      </c>
      <c r="J137" t="str">
        <f>TEXT(SalesData[[#This Row],[Order Date]],"mmm")</f>
        <v>May</v>
      </c>
      <c r="K137">
        <f>YEAR(SalesData[[#This Row],[Order Date]])</f>
        <v>2025</v>
      </c>
      <c r="L137" s="3">
        <f>SalesData[[#This Row],[Profit]]/SalesData[[#This Row],[Sales]]</f>
        <v>0.22807256235827664</v>
      </c>
    </row>
    <row r="138" spans="1:12">
      <c r="A138" t="s">
        <v>306</v>
      </c>
      <c r="B138" s="2">
        <v>45714</v>
      </c>
      <c r="C138" t="s">
        <v>307</v>
      </c>
      <c r="D138" t="s">
        <v>28</v>
      </c>
      <c r="E138" t="s">
        <v>33</v>
      </c>
      <c r="F138" t="s">
        <v>308</v>
      </c>
      <c r="G138">
        <v>229.65</v>
      </c>
      <c r="H138">
        <v>56.81</v>
      </c>
      <c r="I138">
        <v>1</v>
      </c>
      <c r="J138" t="str">
        <f>TEXT(SalesData[[#This Row],[Order Date]],"mmm")</f>
        <v>Feb</v>
      </c>
      <c r="K138">
        <f>YEAR(SalesData[[#This Row],[Order Date]])</f>
        <v>2025</v>
      </c>
      <c r="L138" s="3">
        <f>SalesData[[#This Row],[Profit]]/SalesData[[#This Row],[Sales]]</f>
        <v>0.24737644241236664</v>
      </c>
    </row>
    <row r="139" spans="1:12">
      <c r="A139" t="s">
        <v>309</v>
      </c>
      <c r="B139" s="2">
        <v>45762</v>
      </c>
      <c r="C139" t="s">
        <v>310</v>
      </c>
      <c r="D139" t="s">
        <v>19</v>
      </c>
      <c r="E139" t="s">
        <v>41</v>
      </c>
      <c r="F139" t="s">
        <v>58</v>
      </c>
      <c r="G139">
        <v>156</v>
      </c>
      <c r="H139">
        <v>35</v>
      </c>
      <c r="I139">
        <v>3</v>
      </c>
      <c r="J139" t="str">
        <f>TEXT(SalesData[[#This Row],[Order Date]],"mmm")</f>
        <v>Apr</v>
      </c>
      <c r="K139">
        <f>YEAR(SalesData[[#This Row],[Order Date]])</f>
        <v>2025</v>
      </c>
      <c r="L139" s="3">
        <f>SalesData[[#This Row],[Profit]]/SalesData[[#This Row],[Sales]]</f>
        <v>0.22435897435897437</v>
      </c>
    </row>
    <row r="140" spans="1:12">
      <c r="A140" t="s">
        <v>311</v>
      </c>
      <c r="B140" s="2">
        <v>45724</v>
      </c>
      <c r="C140" t="s">
        <v>312</v>
      </c>
      <c r="D140" t="s">
        <v>19</v>
      </c>
      <c r="E140" t="s">
        <v>33</v>
      </c>
      <c r="F140" t="s">
        <v>308</v>
      </c>
      <c r="G140">
        <v>381.48</v>
      </c>
      <c r="H140">
        <v>78.64</v>
      </c>
      <c r="I140">
        <v>1</v>
      </c>
      <c r="J140" t="str">
        <f>TEXT(SalesData[[#This Row],[Order Date]],"mmm")</f>
        <v>Mar</v>
      </c>
      <c r="K140">
        <f>YEAR(SalesData[[#This Row],[Order Date]])</f>
        <v>2025</v>
      </c>
      <c r="L140" s="3">
        <f>SalesData[[#This Row],[Profit]]/SalesData[[#This Row],[Sales]]</f>
        <v>0.2061444898815141</v>
      </c>
    </row>
    <row r="141" spans="1:12">
      <c r="A141" t="s">
        <v>313</v>
      </c>
      <c r="B141" s="2">
        <v>45893</v>
      </c>
      <c r="C141" t="s">
        <v>314</v>
      </c>
      <c r="D141" t="s">
        <v>14</v>
      </c>
      <c r="E141" t="s">
        <v>33</v>
      </c>
      <c r="F141" t="s">
        <v>34</v>
      </c>
      <c r="G141">
        <v>2600.6799999999998</v>
      </c>
      <c r="H141">
        <v>392.72</v>
      </c>
      <c r="I141">
        <v>4</v>
      </c>
      <c r="J141" t="str">
        <f>TEXT(SalesData[[#This Row],[Order Date]],"mmm")</f>
        <v>Aug</v>
      </c>
      <c r="K141">
        <f>YEAR(SalesData[[#This Row],[Order Date]])</f>
        <v>2025</v>
      </c>
      <c r="L141" s="3">
        <f>SalesData[[#This Row],[Profit]]/SalesData[[#This Row],[Sales]]</f>
        <v>0.15100665979666858</v>
      </c>
    </row>
    <row r="142" spans="1:12">
      <c r="A142" t="s">
        <v>315</v>
      </c>
      <c r="B142" s="2">
        <v>45668</v>
      </c>
      <c r="C142" t="s">
        <v>316</v>
      </c>
      <c r="D142" t="s">
        <v>23</v>
      </c>
      <c r="E142" t="s">
        <v>33</v>
      </c>
      <c r="F142" t="s">
        <v>308</v>
      </c>
      <c r="G142">
        <v>415.57</v>
      </c>
      <c r="H142">
        <v>40.72</v>
      </c>
      <c r="I142">
        <v>1</v>
      </c>
      <c r="J142" t="str">
        <f>TEXT(SalesData[[#This Row],[Order Date]],"mmm")</f>
        <v>Jan</v>
      </c>
      <c r="K142">
        <f>YEAR(SalesData[[#This Row],[Order Date]])</f>
        <v>2025</v>
      </c>
      <c r="L142" s="3">
        <f>SalesData[[#This Row],[Profit]]/SalesData[[#This Row],[Sales]]</f>
        <v>9.7985898885867603E-2</v>
      </c>
    </row>
    <row r="143" spans="1:12">
      <c r="A143" t="s">
        <v>317</v>
      </c>
      <c r="B143" s="2">
        <v>45863</v>
      </c>
      <c r="C143" t="s">
        <v>318</v>
      </c>
      <c r="D143" t="s">
        <v>28</v>
      </c>
      <c r="E143" t="s">
        <v>37</v>
      </c>
      <c r="F143" t="s">
        <v>47</v>
      </c>
      <c r="G143">
        <v>46.64</v>
      </c>
      <c r="H143">
        <v>5.84</v>
      </c>
      <c r="I143">
        <v>2</v>
      </c>
      <c r="J143" t="str">
        <f>TEXT(SalesData[[#This Row],[Order Date]],"mmm")</f>
        <v>Jul</v>
      </c>
      <c r="K143">
        <f>YEAR(SalesData[[#This Row],[Order Date]])</f>
        <v>2025</v>
      </c>
      <c r="L143" s="3">
        <f>SalesData[[#This Row],[Profit]]/SalesData[[#This Row],[Sales]]</f>
        <v>0.12521440823327615</v>
      </c>
    </row>
    <row r="144" spans="1:12">
      <c r="A144" t="s">
        <v>319</v>
      </c>
      <c r="B144" s="2">
        <v>45716</v>
      </c>
      <c r="C144" t="s">
        <v>320</v>
      </c>
      <c r="D144" t="s">
        <v>19</v>
      </c>
      <c r="E144" t="s">
        <v>37</v>
      </c>
      <c r="F144" t="s">
        <v>47</v>
      </c>
      <c r="G144">
        <v>135.03</v>
      </c>
      <c r="H144">
        <v>30.09</v>
      </c>
      <c r="I144">
        <v>3</v>
      </c>
      <c r="J144" t="str">
        <f>TEXT(SalesData[[#This Row],[Order Date]],"mmm")</f>
        <v>Feb</v>
      </c>
      <c r="K144">
        <f>YEAR(SalesData[[#This Row],[Order Date]])</f>
        <v>2025</v>
      </c>
      <c r="L144" s="3">
        <f>SalesData[[#This Row],[Profit]]/SalesData[[#This Row],[Sales]]</f>
        <v>0.22283936902910464</v>
      </c>
    </row>
    <row r="145" spans="1:12">
      <c r="A145" t="s">
        <v>321</v>
      </c>
      <c r="B145" s="2">
        <v>45778</v>
      </c>
      <c r="C145" t="s">
        <v>322</v>
      </c>
      <c r="D145" t="s">
        <v>14</v>
      </c>
      <c r="E145" t="s">
        <v>15</v>
      </c>
      <c r="F145" t="s">
        <v>20</v>
      </c>
      <c r="G145">
        <v>48.02</v>
      </c>
      <c r="H145">
        <v>7.12</v>
      </c>
      <c r="I145">
        <v>2</v>
      </c>
      <c r="J145" t="str">
        <f>TEXT(SalesData[[#This Row],[Order Date]],"mmm")</f>
        <v>May</v>
      </c>
      <c r="K145">
        <f>YEAR(SalesData[[#This Row],[Order Date]])</f>
        <v>2025</v>
      </c>
      <c r="L145" s="3">
        <f>SalesData[[#This Row],[Profit]]/SalesData[[#This Row],[Sales]]</f>
        <v>0.14827155351936691</v>
      </c>
    </row>
    <row r="146" spans="1:12">
      <c r="A146" t="s">
        <v>323</v>
      </c>
      <c r="B146" s="2">
        <v>45979</v>
      </c>
      <c r="C146" t="s">
        <v>324</v>
      </c>
      <c r="D146" t="s">
        <v>23</v>
      </c>
      <c r="E146" t="s">
        <v>41</v>
      </c>
      <c r="F146" t="s">
        <v>71</v>
      </c>
      <c r="G146">
        <v>1774.01</v>
      </c>
      <c r="H146">
        <v>459.16</v>
      </c>
      <c r="I146">
        <v>6</v>
      </c>
      <c r="J146" t="str">
        <f>TEXT(SalesData[[#This Row],[Order Date]],"mmm")</f>
        <v>Nov</v>
      </c>
      <c r="K146">
        <f>YEAR(SalesData[[#This Row],[Order Date]])</f>
        <v>2025</v>
      </c>
      <c r="L146" s="3">
        <f>SalesData[[#This Row],[Profit]]/SalesData[[#This Row],[Sales]]</f>
        <v>0.25882604945857129</v>
      </c>
    </row>
    <row r="147" spans="1:12">
      <c r="A147" t="s">
        <v>325</v>
      </c>
      <c r="B147" s="2">
        <v>45979</v>
      </c>
      <c r="C147" t="s">
        <v>326</v>
      </c>
      <c r="D147" t="s">
        <v>28</v>
      </c>
      <c r="E147" t="s">
        <v>15</v>
      </c>
      <c r="F147" t="s">
        <v>109</v>
      </c>
      <c r="G147">
        <v>89.18</v>
      </c>
      <c r="H147">
        <v>5.21</v>
      </c>
      <c r="I147">
        <v>6</v>
      </c>
      <c r="J147" t="str">
        <f>TEXT(SalesData[[#This Row],[Order Date]],"mmm")</f>
        <v>Nov</v>
      </c>
      <c r="K147">
        <f>YEAR(SalesData[[#This Row],[Order Date]])</f>
        <v>2025</v>
      </c>
      <c r="L147" s="3">
        <f>SalesData[[#This Row],[Profit]]/SalesData[[#This Row],[Sales]]</f>
        <v>5.8421170666068618E-2</v>
      </c>
    </row>
    <row r="148" spans="1:12">
      <c r="A148" t="s">
        <v>327</v>
      </c>
      <c r="B148" s="2">
        <v>45816</v>
      </c>
      <c r="C148" t="s">
        <v>199</v>
      </c>
      <c r="D148" t="s">
        <v>32</v>
      </c>
      <c r="E148" t="s">
        <v>15</v>
      </c>
      <c r="F148" t="s">
        <v>29</v>
      </c>
      <c r="G148">
        <v>21.12</v>
      </c>
      <c r="H148">
        <v>4.1500000000000004</v>
      </c>
      <c r="I148">
        <v>1</v>
      </c>
      <c r="J148" t="str">
        <f>TEXT(SalesData[[#This Row],[Order Date]],"mmm")</f>
        <v>Jun</v>
      </c>
      <c r="K148">
        <f>YEAR(SalesData[[#This Row],[Order Date]])</f>
        <v>2025</v>
      </c>
      <c r="L148" s="3">
        <f>SalesData[[#This Row],[Profit]]/SalesData[[#This Row],[Sales]]</f>
        <v>0.19649621212121213</v>
      </c>
    </row>
    <row r="149" spans="1:12">
      <c r="A149" t="s">
        <v>328</v>
      </c>
      <c r="B149" s="2">
        <v>45962</v>
      </c>
      <c r="C149" t="s">
        <v>329</v>
      </c>
      <c r="D149" t="s">
        <v>28</v>
      </c>
      <c r="E149" t="s">
        <v>33</v>
      </c>
      <c r="F149" t="s">
        <v>52</v>
      </c>
      <c r="G149">
        <v>4179.5600000000004</v>
      </c>
      <c r="H149">
        <v>468.11</v>
      </c>
      <c r="I149">
        <v>4</v>
      </c>
      <c r="J149" t="str">
        <f>TEXT(SalesData[[#This Row],[Order Date]],"mmm")</f>
        <v>Nov</v>
      </c>
      <c r="K149">
        <f>YEAR(SalesData[[#This Row],[Order Date]])</f>
        <v>2025</v>
      </c>
      <c r="L149" s="3">
        <f>SalesData[[#This Row],[Profit]]/SalesData[[#This Row],[Sales]]</f>
        <v>0.1119998277330628</v>
      </c>
    </row>
    <row r="150" spans="1:12">
      <c r="A150" t="s">
        <v>330</v>
      </c>
      <c r="B150" s="2">
        <v>45914</v>
      </c>
      <c r="C150" t="s">
        <v>331</v>
      </c>
      <c r="D150" t="s">
        <v>28</v>
      </c>
      <c r="E150" t="s">
        <v>15</v>
      </c>
      <c r="F150" t="s">
        <v>29</v>
      </c>
      <c r="G150">
        <v>42.66</v>
      </c>
      <c r="H150">
        <v>6.27</v>
      </c>
      <c r="I150">
        <v>6</v>
      </c>
      <c r="J150" t="str">
        <f>TEXT(SalesData[[#This Row],[Order Date]],"mmm")</f>
        <v>Sep</v>
      </c>
      <c r="K150">
        <f>YEAR(SalesData[[#This Row],[Order Date]])</f>
        <v>2025</v>
      </c>
      <c r="L150" s="3">
        <f>SalesData[[#This Row],[Profit]]/SalesData[[#This Row],[Sales]]</f>
        <v>0.1469760900140647</v>
      </c>
    </row>
    <row r="151" spans="1:12">
      <c r="A151" t="s">
        <v>332</v>
      </c>
      <c r="B151" s="2">
        <v>46020</v>
      </c>
      <c r="C151" t="s">
        <v>199</v>
      </c>
      <c r="D151" t="s">
        <v>23</v>
      </c>
      <c r="E151" t="s">
        <v>33</v>
      </c>
      <c r="F151" t="s">
        <v>170</v>
      </c>
      <c r="G151">
        <v>1281.97</v>
      </c>
      <c r="H151">
        <v>191.64</v>
      </c>
      <c r="I151">
        <v>3</v>
      </c>
      <c r="J151" t="str">
        <f>TEXT(SalesData[[#This Row],[Order Date]],"mmm")</f>
        <v>Dec</v>
      </c>
      <c r="K151">
        <f>YEAR(SalesData[[#This Row],[Order Date]])</f>
        <v>2025</v>
      </c>
      <c r="L151" s="3">
        <f>SalesData[[#This Row],[Profit]]/SalesData[[#This Row],[Sales]]</f>
        <v>0.1494886775821587</v>
      </c>
    </row>
    <row r="152" spans="1:12">
      <c r="A152" t="s">
        <v>333</v>
      </c>
      <c r="B152" s="2">
        <v>45964</v>
      </c>
      <c r="C152" t="s">
        <v>334</v>
      </c>
      <c r="D152" t="s">
        <v>32</v>
      </c>
      <c r="E152" t="s">
        <v>24</v>
      </c>
      <c r="F152" t="s">
        <v>55</v>
      </c>
      <c r="G152">
        <v>1040.9000000000001</v>
      </c>
      <c r="H152">
        <v>281.37</v>
      </c>
      <c r="I152">
        <v>6</v>
      </c>
      <c r="J152" t="str">
        <f>TEXT(SalesData[[#This Row],[Order Date]],"mmm")</f>
        <v>Nov</v>
      </c>
      <c r="K152">
        <f>YEAR(SalesData[[#This Row],[Order Date]])</f>
        <v>2025</v>
      </c>
      <c r="L152" s="3">
        <f>SalesData[[#This Row],[Profit]]/SalesData[[#This Row],[Sales]]</f>
        <v>0.27031415121529445</v>
      </c>
    </row>
    <row r="153" spans="1:12">
      <c r="A153" t="s">
        <v>335</v>
      </c>
      <c r="B153" s="2">
        <v>45966</v>
      </c>
      <c r="C153" t="s">
        <v>336</v>
      </c>
      <c r="D153" t="s">
        <v>14</v>
      </c>
      <c r="E153" t="s">
        <v>15</v>
      </c>
      <c r="F153" t="s">
        <v>16</v>
      </c>
      <c r="G153">
        <v>49.64</v>
      </c>
      <c r="H153">
        <v>7.41</v>
      </c>
      <c r="I153">
        <v>3</v>
      </c>
      <c r="J153" t="str">
        <f>TEXT(SalesData[[#This Row],[Order Date]],"mmm")</f>
        <v>Nov</v>
      </c>
      <c r="K153">
        <f>YEAR(SalesData[[#This Row],[Order Date]])</f>
        <v>2025</v>
      </c>
      <c r="L153" s="3">
        <f>SalesData[[#This Row],[Profit]]/SalesData[[#This Row],[Sales]]</f>
        <v>0.1492747784045125</v>
      </c>
    </row>
    <row r="154" spans="1:12">
      <c r="A154" t="s">
        <v>337</v>
      </c>
      <c r="B154" s="2">
        <v>46020</v>
      </c>
      <c r="C154" t="s">
        <v>338</v>
      </c>
      <c r="D154" t="s">
        <v>23</v>
      </c>
      <c r="E154" t="s">
        <v>24</v>
      </c>
      <c r="F154" t="s">
        <v>97</v>
      </c>
      <c r="G154">
        <v>650.45000000000005</v>
      </c>
      <c r="H154">
        <v>161.15</v>
      </c>
      <c r="I154">
        <v>2</v>
      </c>
      <c r="J154" t="str">
        <f>TEXT(SalesData[[#This Row],[Order Date]],"mmm")</f>
        <v>Dec</v>
      </c>
      <c r="K154">
        <f>YEAR(SalesData[[#This Row],[Order Date]])</f>
        <v>2025</v>
      </c>
      <c r="L154" s="3">
        <f>SalesData[[#This Row],[Profit]]/SalesData[[#This Row],[Sales]]</f>
        <v>0.2477515566146514</v>
      </c>
    </row>
    <row r="155" spans="1:12">
      <c r="A155" t="s">
        <v>339</v>
      </c>
      <c r="B155" s="2">
        <v>45927</v>
      </c>
      <c r="C155" t="s">
        <v>340</v>
      </c>
      <c r="D155" t="s">
        <v>23</v>
      </c>
      <c r="E155" t="s">
        <v>24</v>
      </c>
      <c r="F155" t="s">
        <v>97</v>
      </c>
      <c r="G155">
        <v>238.47</v>
      </c>
      <c r="H155">
        <v>34.06</v>
      </c>
      <c r="I155">
        <v>3</v>
      </c>
      <c r="J155" t="str">
        <f>TEXT(SalesData[[#This Row],[Order Date]],"mmm")</f>
        <v>Sep</v>
      </c>
      <c r="K155">
        <f>YEAR(SalesData[[#This Row],[Order Date]])</f>
        <v>2025</v>
      </c>
      <c r="L155" s="3">
        <f>SalesData[[#This Row],[Profit]]/SalesData[[#This Row],[Sales]]</f>
        <v>0.14282719000293539</v>
      </c>
    </row>
    <row r="156" spans="1:12">
      <c r="A156" t="s">
        <v>341</v>
      </c>
      <c r="B156" s="2">
        <v>45906</v>
      </c>
      <c r="C156" t="s">
        <v>342</v>
      </c>
      <c r="D156" t="s">
        <v>19</v>
      </c>
      <c r="E156" t="s">
        <v>15</v>
      </c>
      <c r="F156" t="s">
        <v>29</v>
      </c>
      <c r="G156">
        <v>17.690000000000001</v>
      </c>
      <c r="H156">
        <v>2.3199999999999998</v>
      </c>
      <c r="I156">
        <v>1</v>
      </c>
      <c r="J156" t="str">
        <f>TEXT(SalesData[[#This Row],[Order Date]],"mmm")</f>
        <v>Sep</v>
      </c>
      <c r="K156">
        <f>YEAR(SalesData[[#This Row],[Order Date]])</f>
        <v>2025</v>
      </c>
      <c r="L156" s="3">
        <f>SalesData[[#This Row],[Profit]]/SalesData[[#This Row],[Sales]]</f>
        <v>0.13114754098360654</v>
      </c>
    </row>
    <row r="157" spans="1:12">
      <c r="A157" t="s">
        <v>343</v>
      </c>
      <c r="B157" s="2">
        <v>45927</v>
      </c>
      <c r="C157" t="s">
        <v>334</v>
      </c>
      <c r="D157" t="s">
        <v>23</v>
      </c>
      <c r="E157" t="s">
        <v>15</v>
      </c>
      <c r="F157" t="s">
        <v>109</v>
      </c>
      <c r="G157">
        <v>18.12</v>
      </c>
      <c r="H157">
        <v>3.17</v>
      </c>
      <c r="I157">
        <v>2</v>
      </c>
      <c r="J157" t="str">
        <f>TEXT(SalesData[[#This Row],[Order Date]],"mmm")</f>
        <v>Sep</v>
      </c>
      <c r="K157">
        <f>YEAR(SalesData[[#This Row],[Order Date]])</f>
        <v>2025</v>
      </c>
      <c r="L157" s="3">
        <f>SalesData[[#This Row],[Profit]]/SalesData[[#This Row],[Sales]]</f>
        <v>0.17494481236203088</v>
      </c>
    </row>
    <row r="158" spans="1:12">
      <c r="A158" t="s">
        <v>344</v>
      </c>
      <c r="B158" s="2">
        <v>45742</v>
      </c>
      <c r="C158" t="s">
        <v>345</v>
      </c>
      <c r="D158" t="s">
        <v>32</v>
      </c>
      <c r="E158" t="s">
        <v>24</v>
      </c>
      <c r="F158" t="s">
        <v>134</v>
      </c>
      <c r="G158">
        <v>886</v>
      </c>
      <c r="H158">
        <v>221.92</v>
      </c>
      <c r="I158">
        <v>4</v>
      </c>
      <c r="J158" t="str">
        <f>TEXT(SalesData[[#This Row],[Order Date]],"mmm")</f>
        <v>Mar</v>
      </c>
      <c r="K158">
        <f>YEAR(SalesData[[#This Row],[Order Date]])</f>
        <v>2025</v>
      </c>
      <c r="L158" s="3">
        <f>SalesData[[#This Row],[Profit]]/SalesData[[#This Row],[Sales]]</f>
        <v>0.25047404063205414</v>
      </c>
    </row>
    <row r="159" spans="1:12">
      <c r="A159" t="s">
        <v>346</v>
      </c>
      <c r="B159" s="2">
        <v>45777</v>
      </c>
      <c r="C159" t="s">
        <v>347</v>
      </c>
      <c r="D159" t="s">
        <v>14</v>
      </c>
      <c r="E159" t="s">
        <v>37</v>
      </c>
      <c r="F159" t="s">
        <v>155</v>
      </c>
      <c r="G159">
        <v>50.46</v>
      </c>
      <c r="H159">
        <v>12.21</v>
      </c>
      <c r="I159">
        <v>2</v>
      </c>
      <c r="J159" t="str">
        <f>TEXT(SalesData[[#This Row],[Order Date]],"mmm")</f>
        <v>Apr</v>
      </c>
      <c r="K159">
        <f>YEAR(SalesData[[#This Row],[Order Date]])</f>
        <v>2025</v>
      </c>
      <c r="L159" s="3">
        <f>SalesData[[#This Row],[Profit]]/SalesData[[#This Row],[Sales]]</f>
        <v>0.24197384066587396</v>
      </c>
    </row>
    <row r="160" spans="1:12">
      <c r="A160" t="s">
        <v>348</v>
      </c>
      <c r="B160" s="2">
        <v>45894</v>
      </c>
      <c r="C160" t="s">
        <v>36</v>
      </c>
      <c r="D160" t="s">
        <v>28</v>
      </c>
      <c r="E160" t="s">
        <v>33</v>
      </c>
      <c r="F160" t="s">
        <v>63</v>
      </c>
      <c r="G160">
        <v>1485.06</v>
      </c>
      <c r="H160">
        <v>321.08999999999997</v>
      </c>
      <c r="I160">
        <v>2</v>
      </c>
      <c r="J160" t="str">
        <f>TEXT(SalesData[[#This Row],[Order Date]],"mmm")</f>
        <v>Aug</v>
      </c>
      <c r="K160">
        <f>YEAR(SalesData[[#This Row],[Order Date]])</f>
        <v>2025</v>
      </c>
      <c r="L160" s="3">
        <f>SalesData[[#This Row],[Profit]]/SalesData[[#This Row],[Sales]]</f>
        <v>0.2162134863237849</v>
      </c>
    </row>
    <row r="161" spans="1:12">
      <c r="A161" t="s">
        <v>349</v>
      </c>
      <c r="B161" s="2">
        <v>45786</v>
      </c>
      <c r="C161" t="s">
        <v>350</v>
      </c>
      <c r="D161" t="s">
        <v>14</v>
      </c>
      <c r="E161" t="s">
        <v>33</v>
      </c>
      <c r="F161" t="s">
        <v>52</v>
      </c>
      <c r="G161">
        <v>4604.82</v>
      </c>
      <c r="H161">
        <v>1034.69</v>
      </c>
      <c r="I161">
        <v>6</v>
      </c>
      <c r="J161" t="str">
        <f>TEXT(SalesData[[#This Row],[Order Date]],"mmm")</f>
        <v>May</v>
      </c>
      <c r="K161">
        <f>YEAR(SalesData[[#This Row],[Order Date]])</f>
        <v>2025</v>
      </c>
      <c r="L161" s="3">
        <f>SalesData[[#This Row],[Profit]]/SalesData[[#This Row],[Sales]]</f>
        <v>0.22469716514434879</v>
      </c>
    </row>
    <row r="162" spans="1:12">
      <c r="A162" t="s">
        <v>351</v>
      </c>
      <c r="B162" s="2">
        <v>45740</v>
      </c>
      <c r="C162" t="s">
        <v>352</v>
      </c>
      <c r="D162" t="s">
        <v>23</v>
      </c>
      <c r="E162" t="s">
        <v>15</v>
      </c>
      <c r="F162" t="s">
        <v>109</v>
      </c>
      <c r="G162">
        <v>28.66</v>
      </c>
      <c r="H162">
        <v>2.39</v>
      </c>
      <c r="I162">
        <v>1</v>
      </c>
      <c r="J162" t="str">
        <f>TEXT(SalesData[[#This Row],[Order Date]],"mmm")</f>
        <v>Mar</v>
      </c>
      <c r="K162">
        <f>YEAR(SalesData[[#This Row],[Order Date]])</f>
        <v>2025</v>
      </c>
      <c r="L162" s="3">
        <f>SalesData[[#This Row],[Profit]]/SalesData[[#This Row],[Sales]]</f>
        <v>8.339148639218423E-2</v>
      </c>
    </row>
    <row r="163" spans="1:12">
      <c r="A163" t="s">
        <v>353</v>
      </c>
      <c r="B163" s="2">
        <v>45836</v>
      </c>
      <c r="C163" t="s">
        <v>354</v>
      </c>
      <c r="D163" t="s">
        <v>28</v>
      </c>
      <c r="E163" t="s">
        <v>15</v>
      </c>
      <c r="F163" t="s">
        <v>20</v>
      </c>
      <c r="G163">
        <v>32.67</v>
      </c>
      <c r="H163">
        <v>6.51</v>
      </c>
      <c r="I163">
        <v>3</v>
      </c>
      <c r="J163" t="str">
        <f>TEXT(SalesData[[#This Row],[Order Date]],"mmm")</f>
        <v>Jun</v>
      </c>
      <c r="K163">
        <f>YEAR(SalesData[[#This Row],[Order Date]])</f>
        <v>2025</v>
      </c>
      <c r="L163" s="3">
        <f>SalesData[[#This Row],[Profit]]/SalesData[[#This Row],[Sales]]</f>
        <v>0.1992653810835629</v>
      </c>
    </row>
    <row r="164" spans="1:12">
      <c r="A164" t="s">
        <v>355</v>
      </c>
      <c r="B164" s="2">
        <v>45672</v>
      </c>
      <c r="C164" t="s">
        <v>356</v>
      </c>
      <c r="D164" t="s">
        <v>14</v>
      </c>
      <c r="E164" t="s">
        <v>41</v>
      </c>
      <c r="F164" t="s">
        <v>158</v>
      </c>
      <c r="G164">
        <v>89.55</v>
      </c>
      <c r="H164">
        <v>27.53</v>
      </c>
      <c r="I164">
        <v>1</v>
      </c>
      <c r="J164" t="str">
        <f>TEXT(SalesData[[#This Row],[Order Date]],"mmm")</f>
        <v>Jan</v>
      </c>
      <c r="K164">
        <f>YEAR(SalesData[[#This Row],[Order Date]])</f>
        <v>2025</v>
      </c>
      <c r="L164" s="3">
        <f>SalesData[[#This Row],[Profit]]/SalesData[[#This Row],[Sales]]</f>
        <v>0.30742601898380795</v>
      </c>
    </row>
    <row r="165" spans="1:12">
      <c r="A165" t="s">
        <v>357</v>
      </c>
      <c r="B165" s="2">
        <v>45729</v>
      </c>
      <c r="C165" t="s">
        <v>358</v>
      </c>
      <c r="D165" t="s">
        <v>28</v>
      </c>
      <c r="E165" t="s">
        <v>41</v>
      </c>
      <c r="F165" t="s">
        <v>42</v>
      </c>
      <c r="G165">
        <v>82.58</v>
      </c>
      <c r="H165">
        <v>25.5</v>
      </c>
      <c r="I165">
        <v>1</v>
      </c>
      <c r="J165" t="str">
        <f>TEXT(SalesData[[#This Row],[Order Date]],"mmm")</f>
        <v>Mar</v>
      </c>
      <c r="K165">
        <f>YEAR(SalesData[[#This Row],[Order Date]])</f>
        <v>2025</v>
      </c>
      <c r="L165" s="3">
        <f>SalesData[[#This Row],[Profit]]/SalesData[[#This Row],[Sales]]</f>
        <v>0.30879147493339792</v>
      </c>
    </row>
    <row r="166" spans="1:12">
      <c r="A166" t="s">
        <v>359</v>
      </c>
      <c r="B166" s="2">
        <v>45969</v>
      </c>
      <c r="C166" t="s">
        <v>360</v>
      </c>
      <c r="D166" t="s">
        <v>32</v>
      </c>
      <c r="E166" t="s">
        <v>41</v>
      </c>
      <c r="F166" t="s">
        <v>158</v>
      </c>
      <c r="G166">
        <v>184.24</v>
      </c>
      <c r="H166">
        <v>47.85</v>
      </c>
      <c r="I166">
        <v>3</v>
      </c>
      <c r="J166" t="str">
        <f>TEXT(SalesData[[#This Row],[Order Date]],"mmm")</f>
        <v>Nov</v>
      </c>
      <c r="K166">
        <f>YEAR(SalesData[[#This Row],[Order Date]])</f>
        <v>2025</v>
      </c>
      <c r="L166" s="3">
        <f>SalesData[[#This Row],[Profit]]/SalesData[[#This Row],[Sales]]</f>
        <v>0.25971558836300479</v>
      </c>
    </row>
    <row r="167" spans="1:12">
      <c r="A167" t="s">
        <v>361</v>
      </c>
      <c r="B167" s="2">
        <v>45690</v>
      </c>
      <c r="C167" t="s">
        <v>362</v>
      </c>
      <c r="D167" t="s">
        <v>23</v>
      </c>
      <c r="E167" t="s">
        <v>33</v>
      </c>
      <c r="F167" t="s">
        <v>34</v>
      </c>
      <c r="G167">
        <v>1240.3499999999999</v>
      </c>
      <c r="H167">
        <v>129.5</v>
      </c>
      <c r="I167">
        <v>5</v>
      </c>
      <c r="J167" t="str">
        <f>TEXT(SalesData[[#This Row],[Order Date]],"mmm")</f>
        <v>Feb</v>
      </c>
      <c r="K167">
        <f>YEAR(SalesData[[#This Row],[Order Date]])</f>
        <v>2025</v>
      </c>
      <c r="L167" s="3">
        <f>SalesData[[#This Row],[Profit]]/SalesData[[#This Row],[Sales]]</f>
        <v>0.1044060144314105</v>
      </c>
    </row>
    <row r="168" spans="1:12">
      <c r="A168" t="s">
        <v>363</v>
      </c>
      <c r="B168" s="2">
        <v>45972</v>
      </c>
      <c r="C168" t="s">
        <v>51</v>
      </c>
      <c r="D168" t="s">
        <v>23</v>
      </c>
      <c r="E168" t="s">
        <v>24</v>
      </c>
      <c r="F168" t="s">
        <v>25</v>
      </c>
      <c r="G168">
        <v>1913.7</v>
      </c>
      <c r="H168">
        <v>392.71</v>
      </c>
      <c r="I168">
        <v>5</v>
      </c>
      <c r="J168" t="str">
        <f>TEXT(SalesData[[#This Row],[Order Date]],"mmm")</f>
        <v>Nov</v>
      </c>
      <c r="K168">
        <f>YEAR(SalesData[[#This Row],[Order Date]])</f>
        <v>2025</v>
      </c>
      <c r="L168" s="3">
        <f>SalesData[[#This Row],[Profit]]/SalesData[[#This Row],[Sales]]</f>
        <v>0.20520980299942518</v>
      </c>
    </row>
    <row r="169" spans="1:12">
      <c r="A169" t="s">
        <v>364</v>
      </c>
      <c r="B169" s="2">
        <v>45917</v>
      </c>
      <c r="C169" t="s">
        <v>84</v>
      </c>
      <c r="D169" t="s">
        <v>28</v>
      </c>
      <c r="E169" t="s">
        <v>37</v>
      </c>
      <c r="F169" t="s">
        <v>38</v>
      </c>
      <c r="G169">
        <v>157.68</v>
      </c>
      <c r="H169">
        <v>24.6</v>
      </c>
      <c r="I169">
        <v>6</v>
      </c>
      <c r="J169" t="str">
        <f>TEXT(SalesData[[#This Row],[Order Date]],"mmm")</f>
        <v>Sep</v>
      </c>
      <c r="K169">
        <f>YEAR(SalesData[[#This Row],[Order Date]])</f>
        <v>2025</v>
      </c>
      <c r="L169" s="3">
        <f>SalesData[[#This Row],[Profit]]/SalesData[[#This Row],[Sales]]</f>
        <v>0.15601217656012176</v>
      </c>
    </row>
    <row r="170" spans="1:12">
      <c r="A170" t="s">
        <v>365</v>
      </c>
      <c r="B170" s="2">
        <v>45840</v>
      </c>
      <c r="C170" t="s">
        <v>366</v>
      </c>
      <c r="D170" t="s">
        <v>14</v>
      </c>
      <c r="E170" t="s">
        <v>15</v>
      </c>
      <c r="F170" t="s">
        <v>82</v>
      </c>
      <c r="G170">
        <v>116.9</v>
      </c>
      <c r="H170">
        <v>11.68</v>
      </c>
      <c r="I170">
        <v>5</v>
      </c>
      <c r="J170" t="str">
        <f>TEXT(SalesData[[#This Row],[Order Date]],"mmm")</f>
        <v>Jul</v>
      </c>
      <c r="K170">
        <f>YEAR(SalesData[[#This Row],[Order Date]])</f>
        <v>2025</v>
      </c>
      <c r="L170" s="3">
        <f>SalesData[[#This Row],[Profit]]/SalesData[[#This Row],[Sales]]</f>
        <v>9.9914456800684337E-2</v>
      </c>
    </row>
    <row r="171" spans="1:12">
      <c r="A171" t="s">
        <v>367</v>
      </c>
      <c r="B171" s="2">
        <v>45937</v>
      </c>
      <c r="C171" t="s">
        <v>316</v>
      </c>
      <c r="D171" t="s">
        <v>28</v>
      </c>
      <c r="E171" t="s">
        <v>37</v>
      </c>
      <c r="F171" t="s">
        <v>155</v>
      </c>
      <c r="G171">
        <v>90.18</v>
      </c>
      <c r="H171">
        <v>10.84</v>
      </c>
      <c r="I171">
        <v>6</v>
      </c>
      <c r="J171" t="str">
        <f>TEXT(SalesData[[#This Row],[Order Date]],"mmm")</f>
        <v>Oct</v>
      </c>
      <c r="K171">
        <f>YEAR(SalesData[[#This Row],[Order Date]])</f>
        <v>2025</v>
      </c>
      <c r="L171" s="3">
        <f>SalesData[[#This Row],[Profit]]/SalesData[[#This Row],[Sales]]</f>
        <v>0.12020403637170103</v>
      </c>
    </row>
    <row r="172" spans="1:12">
      <c r="A172" t="s">
        <v>368</v>
      </c>
      <c r="B172" s="2">
        <v>45892</v>
      </c>
      <c r="C172" t="s">
        <v>369</v>
      </c>
      <c r="D172" t="s">
        <v>19</v>
      </c>
      <c r="E172" t="s">
        <v>15</v>
      </c>
      <c r="F172" t="s">
        <v>16</v>
      </c>
      <c r="G172">
        <v>12.89</v>
      </c>
      <c r="H172">
        <v>1.24</v>
      </c>
      <c r="I172">
        <v>1</v>
      </c>
      <c r="J172" t="str">
        <f>TEXT(SalesData[[#This Row],[Order Date]],"mmm")</f>
        <v>Aug</v>
      </c>
      <c r="K172">
        <f>YEAR(SalesData[[#This Row],[Order Date]])</f>
        <v>2025</v>
      </c>
      <c r="L172" s="3">
        <f>SalesData[[#This Row],[Profit]]/SalesData[[#This Row],[Sales]]</f>
        <v>9.6198603568657864E-2</v>
      </c>
    </row>
    <row r="173" spans="1:12">
      <c r="A173" t="s">
        <v>370</v>
      </c>
      <c r="B173" s="2">
        <v>45936</v>
      </c>
      <c r="C173" t="s">
        <v>371</v>
      </c>
      <c r="D173" t="s">
        <v>32</v>
      </c>
      <c r="E173" t="s">
        <v>41</v>
      </c>
      <c r="F173" t="s">
        <v>158</v>
      </c>
      <c r="G173">
        <v>315.95999999999998</v>
      </c>
      <c r="H173">
        <v>93.27</v>
      </c>
      <c r="I173">
        <v>3</v>
      </c>
      <c r="J173" t="str">
        <f>TEXT(SalesData[[#This Row],[Order Date]],"mmm")</f>
        <v>Oct</v>
      </c>
      <c r="K173">
        <f>YEAR(SalesData[[#This Row],[Order Date]])</f>
        <v>2025</v>
      </c>
      <c r="L173" s="3">
        <f>SalesData[[#This Row],[Profit]]/SalesData[[#This Row],[Sales]]</f>
        <v>0.29519559437903531</v>
      </c>
    </row>
    <row r="174" spans="1:12">
      <c r="A174" t="s">
        <v>372</v>
      </c>
      <c r="B174" s="2">
        <v>45827</v>
      </c>
      <c r="C174" t="s">
        <v>373</v>
      </c>
      <c r="D174" t="s">
        <v>14</v>
      </c>
      <c r="E174" t="s">
        <v>24</v>
      </c>
      <c r="F174" t="s">
        <v>88</v>
      </c>
      <c r="G174">
        <v>990.66</v>
      </c>
      <c r="H174">
        <v>288.58</v>
      </c>
      <c r="I174">
        <v>6</v>
      </c>
      <c r="J174" t="str">
        <f>TEXT(SalesData[[#This Row],[Order Date]],"mmm")</f>
        <v>Jun</v>
      </c>
      <c r="K174">
        <f>YEAR(SalesData[[#This Row],[Order Date]])</f>
        <v>2025</v>
      </c>
      <c r="L174" s="3">
        <f>SalesData[[#This Row],[Profit]]/SalesData[[#This Row],[Sales]]</f>
        <v>0.29130074899561909</v>
      </c>
    </row>
    <row r="175" spans="1:12">
      <c r="A175" t="s">
        <v>374</v>
      </c>
      <c r="B175" s="2">
        <v>45753</v>
      </c>
      <c r="C175" t="s">
        <v>375</v>
      </c>
      <c r="D175" t="s">
        <v>14</v>
      </c>
      <c r="E175" t="s">
        <v>37</v>
      </c>
      <c r="F175" t="s">
        <v>194</v>
      </c>
      <c r="G175">
        <v>147.18</v>
      </c>
      <c r="H175">
        <v>30.77</v>
      </c>
      <c r="I175">
        <v>3</v>
      </c>
      <c r="J175" t="str">
        <f>TEXT(SalesData[[#This Row],[Order Date]],"mmm")</f>
        <v>Apr</v>
      </c>
      <c r="K175">
        <f>YEAR(SalesData[[#This Row],[Order Date]])</f>
        <v>2025</v>
      </c>
      <c r="L175" s="3">
        <f>SalesData[[#This Row],[Profit]]/SalesData[[#This Row],[Sales]]</f>
        <v>0.20906373148525614</v>
      </c>
    </row>
    <row r="176" spans="1:12">
      <c r="A176" t="s">
        <v>376</v>
      </c>
      <c r="B176" s="2">
        <v>45966</v>
      </c>
      <c r="C176" t="s">
        <v>377</v>
      </c>
      <c r="D176" t="s">
        <v>23</v>
      </c>
      <c r="E176" t="s">
        <v>24</v>
      </c>
      <c r="F176" t="s">
        <v>25</v>
      </c>
      <c r="G176">
        <v>152.4</v>
      </c>
      <c r="H176">
        <v>28.83</v>
      </c>
      <c r="I176">
        <v>1</v>
      </c>
      <c r="J176" t="str">
        <f>TEXT(SalesData[[#This Row],[Order Date]],"mmm")</f>
        <v>Nov</v>
      </c>
      <c r="K176">
        <f>YEAR(SalesData[[#This Row],[Order Date]])</f>
        <v>2025</v>
      </c>
      <c r="L176" s="3">
        <f>SalesData[[#This Row],[Profit]]/SalesData[[#This Row],[Sales]]</f>
        <v>0.18917322834645667</v>
      </c>
    </row>
    <row r="177" spans="1:12">
      <c r="A177" t="s">
        <v>378</v>
      </c>
      <c r="B177" s="2">
        <v>45743</v>
      </c>
      <c r="C177" t="s">
        <v>379</v>
      </c>
      <c r="D177" t="s">
        <v>14</v>
      </c>
      <c r="E177" t="s">
        <v>24</v>
      </c>
      <c r="F177" t="s">
        <v>97</v>
      </c>
      <c r="G177">
        <v>1746.95</v>
      </c>
      <c r="H177">
        <v>270.62</v>
      </c>
      <c r="I177">
        <v>5</v>
      </c>
      <c r="J177" t="str">
        <f>TEXT(SalesData[[#This Row],[Order Date]],"mmm")</f>
        <v>Mar</v>
      </c>
      <c r="K177">
        <f>YEAR(SalesData[[#This Row],[Order Date]])</f>
        <v>2025</v>
      </c>
      <c r="L177" s="3">
        <f>SalesData[[#This Row],[Profit]]/SalesData[[#This Row],[Sales]]</f>
        <v>0.15490998597555738</v>
      </c>
    </row>
    <row r="178" spans="1:12">
      <c r="A178" t="s">
        <v>380</v>
      </c>
      <c r="B178" s="2">
        <v>45687</v>
      </c>
      <c r="C178" t="s">
        <v>381</v>
      </c>
      <c r="D178" t="s">
        <v>14</v>
      </c>
      <c r="E178" t="s">
        <v>33</v>
      </c>
      <c r="F178" t="s">
        <v>170</v>
      </c>
      <c r="G178">
        <v>162.79</v>
      </c>
      <c r="H178">
        <v>29.84</v>
      </c>
      <c r="I178">
        <v>1</v>
      </c>
      <c r="J178" t="str">
        <f>TEXT(SalesData[[#This Row],[Order Date]],"mmm")</f>
        <v>Jan</v>
      </c>
      <c r="K178">
        <f>YEAR(SalesData[[#This Row],[Order Date]])</f>
        <v>2025</v>
      </c>
      <c r="L178" s="3">
        <f>SalesData[[#This Row],[Profit]]/SalesData[[#This Row],[Sales]]</f>
        <v>0.18330364272989741</v>
      </c>
    </row>
    <row r="179" spans="1:12">
      <c r="A179" t="s">
        <v>382</v>
      </c>
      <c r="B179" s="2">
        <v>45675</v>
      </c>
      <c r="C179" t="s">
        <v>383</v>
      </c>
      <c r="D179" t="s">
        <v>19</v>
      </c>
      <c r="E179" t="s">
        <v>41</v>
      </c>
      <c r="F179" t="s">
        <v>58</v>
      </c>
      <c r="G179">
        <v>333.42</v>
      </c>
      <c r="H179">
        <v>80.62</v>
      </c>
      <c r="I179">
        <v>3</v>
      </c>
      <c r="J179" t="str">
        <f>TEXT(SalesData[[#This Row],[Order Date]],"mmm")</f>
        <v>Jan</v>
      </c>
      <c r="K179">
        <f>YEAR(SalesData[[#This Row],[Order Date]])</f>
        <v>2025</v>
      </c>
      <c r="L179" s="3">
        <f>SalesData[[#This Row],[Profit]]/SalesData[[#This Row],[Sales]]</f>
        <v>0.24179713274548617</v>
      </c>
    </row>
    <row r="180" spans="1:12">
      <c r="A180" t="s">
        <v>384</v>
      </c>
      <c r="B180" s="2">
        <v>46005</v>
      </c>
      <c r="C180" t="s">
        <v>385</v>
      </c>
      <c r="D180" t="s">
        <v>14</v>
      </c>
      <c r="E180" t="s">
        <v>24</v>
      </c>
      <c r="F180" t="s">
        <v>25</v>
      </c>
      <c r="G180">
        <v>395.94</v>
      </c>
      <c r="H180">
        <v>64.489999999999995</v>
      </c>
      <c r="I180">
        <v>5</v>
      </c>
      <c r="J180" t="str">
        <f>TEXT(SalesData[[#This Row],[Order Date]],"mmm")</f>
        <v>Dec</v>
      </c>
      <c r="K180">
        <f>YEAR(SalesData[[#This Row],[Order Date]])</f>
        <v>2025</v>
      </c>
      <c r="L180" s="3">
        <f>SalesData[[#This Row],[Profit]]/SalesData[[#This Row],[Sales]]</f>
        <v>0.16287821387078849</v>
      </c>
    </row>
    <row r="181" spans="1:12">
      <c r="A181" t="s">
        <v>386</v>
      </c>
      <c r="B181" s="2">
        <v>45716</v>
      </c>
      <c r="C181" t="s">
        <v>280</v>
      </c>
      <c r="D181" t="s">
        <v>28</v>
      </c>
      <c r="E181" t="s">
        <v>33</v>
      </c>
      <c r="F181" t="s">
        <v>34</v>
      </c>
      <c r="G181">
        <v>265.13</v>
      </c>
      <c r="H181">
        <v>32.94</v>
      </c>
      <c r="I181">
        <v>1</v>
      </c>
      <c r="J181" t="str">
        <f>TEXT(SalesData[[#This Row],[Order Date]],"mmm")</f>
        <v>Feb</v>
      </c>
      <c r="K181">
        <f>YEAR(SalesData[[#This Row],[Order Date]])</f>
        <v>2025</v>
      </c>
      <c r="L181" s="3">
        <f>SalesData[[#This Row],[Profit]]/SalesData[[#This Row],[Sales]]</f>
        <v>0.12424093840757364</v>
      </c>
    </row>
    <row r="182" spans="1:12">
      <c r="A182" t="s">
        <v>387</v>
      </c>
      <c r="B182" s="2">
        <v>45971</v>
      </c>
      <c r="C182" t="s">
        <v>266</v>
      </c>
      <c r="D182" t="s">
        <v>19</v>
      </c>
      <c r="E182" t="s">
        <v>15</v>
      </c>
      <c r="F182" t="s">
        <v>82</v>
      </c>
      <c r="G182">
        <v>48.99</v>
      </c>
      <c r="H182">
        <v>9.7799999999999994</v>
      </c>
      <c r="I182">
        <v>4</v>
      </c>
      <c r="J182" t="str">
        <f>TEXT(SalesData[[#This Row],[Order Date]],"mmm")</f>
        <v>Nov</v>
      </c>
      <c r="K182">
        <f>YEAR(SalesData[[#This Row],[Order Date]])</f>
        <v>2025</v>
      </c>
      <c r="L182" s="3">
        <f>SalesData[[#This Row],[Profit]]/SalesData[[#This Row],[Sales]]</f>
        <v>0.19963257807715859</v>
      </c>
    </row>
    <row r="183" spans="1:12">
      <c r="A183" t="s">
        <v>388</v>
      </c>
      <c r="B183" s="2">
        <v>45821</v>
      </c>
      <c r="C183" t="s">
        <v>389</v>
      </c>
      <c r="D183" t="s">
        <v>32</v>
      </c>
      <c r="E183" t="s">
        <v>33</v>
      </c>
      <c r="F183" t="s">
        <v>308</v>
      </c>
      <c r="G183">
        <v>2316.5100000000002</v>
      </c>
      <c r="H183">
        <v>465.64</v>
      </c>
      <c r="I183">
        <v>3</v>
      </c>
      <c r="J183" t="str">
        <f>TEXT(SalesData[[#This Row],[Order Date]],"mmm")</f>
        <v>Jun</v>
      </c>
      <c r="K183">
        <f>YEAR(SalesData[[#This Row],[Order Date]])</f>
        <v>2025</v>
      </c>
      <c r="L183" s="3">
        <f>SalesData[[#This Row],[Profit]]/SalesData[[#This Row],[Sales]]</f>
        <v>0.20100927688635056</v>
      </c>
    </row>
    <row r="184" spans="1:12">
      <c r="A184" t="s">
        <v>390</v>
      </c>
      <c r="B184" s="2">
        <v>45984</v>
      </c>
      <c r="C184" t="s">
        <v>391</v>
      </c>
      <c r="D184" t="s">
        <v>23</v>
      </c>
      <c r="E184" t="s">
        <v>15</v>
      </c>
      <c r="F184" t="s">
        <v>16</v>
      </c>
      <c r="G184">
        <v>27.26</v>
      </c>
      <c r="H184">
        <v>2.84</v>
      </c>
      <c r="I184">
        <v>2</v>
      </c>
      <c r="J184" t="str">
        <f>TEXT(SalesData[[#This Row],[Order Date]],"mmm")</f>
        <v>Nov</v>
      </c>
      <c r="K184">
        <f>YEAR(SalesData[[#This Row],[Order Date]])</f>
        <v>2025</v>
      </c>
      <c r="L184" s="3">
        <f>SalesData[[#This Row],[Profit]]/SalesData[[#This Row],[Sales]]</f>
        <v>0.10418195157740277</v>
      </c>
    </row>
    <row r="185" spans="1:12">
      <c r="A185" t="s">
        <v>392</v>
      </c>
      <c r="B185" s="2">
        <v>45897</v>
      </c>
      <c r="C185" t="s">
        <v>393</v>
      </c>
      <c r="D185" t="s">
        <v>19</v>
      </c>
      <c r="E185" t="s">
        <v>41</v>
      </c>
      <c r="F185" t="s">
        <v>42</v>
      </c>
      <c r="G185">
        <v>94.59</v>
      </c>
      <c r="H185">
        <v>33.1</v>
      </c>
      <c r="I185">
        <v>1</v>
      </c>
      <c r="J185" t="str">
        <f>TEXT(SalesData[[#This Row],[Order Date]],"mmm")</f>
        <v>Aug</v>
      </c>
      <c r="K185">
        <f>YEAR(SalesData[[#This Row],[Order Date]])</f>
        <v>2025</v>
      </c>
      <c r="L185" s="3">
        <f>SalesData[[#This Row],[Profit]]/SalesData[[#This Row],[Sales]]</f>
        <v>0.34993128237657256</v>
      </c>
    </row>
    <row r="186" spans="1:12">
      <c r="A186" t="s">
        <v>394</v>
      </c>
      <c r="B186" s="2">
        <v>45927</v>
      </c>
      <c r="C186" t="s">
        <v>395</v>
      </c>
      <c r="D186" t="s">
        <v>23</v>
      </c>
      <c r="E186" t="s">
        <v>15</v>
      </c>
      <c r="F186" t="s">
        <v>29</v>
      </c>
      <c r="G186">
        <v>41.1</v>
      </c>
      <c r="H186">
        <v>4.93</v>
      </c>
      <c r="I186">
        <v>6</v>
      </c>
      <c r="J186" t="str">
        <f>TEXT(SalesData[[#This Row],[Order Date]],"mmm")</f>
        <v>Sep</v>
      </c>
      <c r="K186">
        <f>YEAR(SalesData[[#This Row],[Order Date]])</f>
        <v>2025</v>
      </c>
      <c r="L186" s="3">
        <f>SalesData[[#This Row],[Profit]]/SalesData[[#This Row],[Sales]]</f>
        <v>0.11995133819951337</v>
      </c>
    </row>
    <row r="187" spans="1:12">
      <c r="A187" t="s">
        <v>396</v>
      </c>
      <c r="B187" s="2">
        <v>45723</v>
      </c>
      <c r="C187" t="s">
        <v>397</v>
      </c>
      <c r="D187" t="s">
        <v>23</v>
      </c>
      <c r="E187" t="s">
        <v>15</v>
      </c>
      <c r="F187" t="s">
        <v>16</v>
      </c>
      <c r="G187">
        <v>70.28</v>
      </c>
      <c r="H187">
        <v>12.67</v>
      </c>
      <c r="I187">
        <v>4</v>
      </c>
      <c r="J187" t="str">
        <f>TEXT(SalesData[[#This Row],[Order Date]],"mmm")</f>
        <v>Mar</v>
      </c>
      <c r="K187">
        <f>YEAR(SalesData[[#This Row],[Order Date]])</f>
        <v>2025</v>
      </c>
      <c r="L187" s="3">
        <f>SalesData[[#This Row],[Profit]]/SalesData[[#This Row],[Sales]]</f>
        <v>0.1802788844621514</v>
      </c>
    </row>
    <row r="188" spans="1:12">
      <c r="A188" t="s">
        <v>398</v>
      </c>
      <c r="B188" s="2">
        <v>45923</v>
      </c>
      <c r="C188" t="s">
        <v>399</v>
      </c>
      <c r="D188" t="s">
        <v>19</v>
      </c>
      <c r="E188" t="s">
        <v>15</v>
      </c>
      <c r="F188" t="s">
        <v>16</v>
      </c>
      <c r="G188">
        <v>86.07</v>
      </c>
      <c r="H188">
        <v>11</v>
      </c>
      <c r="I188">
        <v>3</v>
      </c>
      <c r="J188" t="str">
        <f>TEXT(SalesData[[#This Row],[Order Date]],"mmm")</f>
        <v>Sep</v>
      </c>
      <c r="K188">
        <f>YEAR(SalesData[[#This Row],[Order Date]])</f>
        <v>2025</v>
      </c>
      <c r="L188" s="3">
        <f>SalesData[[#This Row],[Profit]]/SalesData[[#This Row],[Sales]]</f>
        <v>0.12780295108632508</v>
      </c>
    </row>
    <row r="189" spans="1:12">
      <c r="A189" t="s">
        <v>400</v>
      </c>
      <c r="B189" s="2">
        <v>45698</v>
      </c>
      <c r="C189" t="s">
        <v>401</v>
      </c>
      <c r="D189" t="s">
        <v>23</v>
      </c>
      <c r="E189" t="s">
        <v>24</v>
      </c>
      <c r="F189" t="s">
        <v>97</v>
      </c>
      <c r="G189">
        <v>980.25</v>
      </c>
      <c r="H189">
        <v>196.55</v>
      </c>
      <c r="I189">
        <v>5</v>
      </c>
      <c r="J189" t="str">
        <f>TEXT(SalesData[[#This Row],[Order Date]],"mmm")</f>
        <v>Feb</v>
      </c>
      <c r="K189">
        <f>YEAR(SalesData[[#This Row],[Order Date]])</f>
        <v>2025</v>
      </c>
      <c r="L189" s="3">
        <f>SalesData[[#This Row],[Profit]]/SalesData[[#This Row],[Sales]]</f>
        <v>0.20051007396072432</v>
      </c>
    </row>
    <row r="190" spans="1:12">
      <c r="A190" t="s">
        <v>402</v>
      </c>
      <c r="B190" s="2">
        <v>45955</v>
      </c>
      <c r="C190" t="s">
        <v>403</v>
      </c>
      <c r="D190" t="s">
        <v>23</v>
      </c>
      <c r="E190" t="s">
        <v>41</v>
      </c>
      <c r="F190" t="s">
        <v>68</v>
      </c>
      <c r="G190">
        <v>643.71</v>
      </c>
      <c r="H190">
        <v>155.07</v>
      </c>
      <c r="I190">
        <v>3</v>
      </c>
      <c r="J190" t="str">
        <f>TEXT(SalesData[[#This Row],[Order Date]],"mmm")</f>
        <v>Oct</v>
      </c>
      <c r="K190">
        <f>YEAR(SalesData[[#This Row],[Order Date]])</f>
        <v>2025</v>
      </c>
      <c r="L190" s="3">
        <f>SalesData[[#This Row],[Profit]]/SalesData[[#This Row],[Sales]]</f>
        <v>0.24090040546208694</v>
      </c>
    </row>
    <row r="191" spans="1:12">
      <c r="A191" t="s">
        <v>404</v>
      </c>
      <c r="B191" s="2">
        <v>45672</v>
      </c>
      <c r="C191" t="s">
        <v>206</v>
      </c>
      <c r="D191" t="s">
        <v>23</v>
      </c>
      <c r="E191" t="s">
        <v>24</v>
      </c>
      <c r="F191" t="s">
        <v>134</v>
      </c>
      <c r="G191">
        <v>787.35</v>
      </c>
      <c r="H191">
        <v>179.36</v>
      </c>
      <c r="I191">
        <v>5</v>
      </c>
      <c r="J191" t="str">
        <f>TEXT(SalesData[[#This Row],[Order Date]],"mmm")</f>
        <v>Jan</v>
      </c>
      <c r="K191">
        <f>YEAR(SalesData[[#This Row],[Order Date]])</f>
        <v>2025</v>
      </c>
      <c r="L191" s="3">
        <f>SalesData[[#This Row],[Profit]]/SalesData[[#This Row],[Sales]]</f>
        <v>0.22780212103892805</v>
      </c>
    </row>
    <row r="192" spans="1:12">
      <c r="A192" t="s">
        <v>405</v>
      </c>
      <c r="B192" s="2">
        <v>45979</v>
      </c>
      <c r="C192" t="s">
        <v>406</v>
      </c>
      <c r="D192" t="s">
        <v>14</v>
      </c>
      <c r="E192" t="s">
        <v>33</v>
      </c>
      <c r="F192" t="s">
        <v>63</v>
      </c>
      <c r="G192">
        <v>1685.69</v>
      </c>
      <c r="H192">
        <v>180.16</v>
      </c>
      <c r="I192">
        <v>3</v>
      </c>
      <c r="J192" t="str">
        <f>TEXT(SalesData[[#This Row],[Order Date]],"mmm")</f>
        <v>Nov</v>
      </c>
      <c r="K192">
        <f>YEAR(SalesData[[#This Row],[Order Date]])</f>
        <v>2025</v>
      </c>
      <c r="L192" s="3">
        <f>SalesData[[#This Row],[Profit]]/SalesData[[#This Row],[Sales]]</f>
        <v>0.10687611601184084</v>
      </c>
    </row>
    <row r="193" spans="1:12">
      <c r="A193" t="s">
        <v>407</v>
      </c>
      <c r="B193" s="2">
        <v>45895</v>
      </c>
      <c r="C193" t="s">
        <v>408</v>
      </c>
      <c r="D193" t="s">
        <v>23</v>
      </c>
      <c r="E193" t="s">
        <v>15</v>
      </c>
      <c r="F193" t="s">
        <v>29</v>
      </c>
      <c r="G193">
        <v>178.2</v>
      </c>
      <c r="H193">
        <v>18.14</v>
      </c>
      <c r="I193">
        <v>6</v>
      </c>
      <c r="J193" t="str">
        <f>TEXT(SalesData[[#This Row],[Order Date]],"mmm")</f>
        <v>Aug</v>
      </c>
      <c r="K193">
        <f>YEAR(SalesData[[#This Row],[Order Date]])</f>
        <v>2025</v>
      </c>
      <c r="L193" s="3">
        <f>SalesData[[#This Row],[Profit]]/SalesData[[#This Row],[Sales]]</f>
        <v>0.10179573512906848</v>
      </c>
    </row>
    <row r="194" spans="1:12">
      <c r="A194" t="s">
        <v>409</v>
      </c>
      <c r="B194" s="2">
        <v>45847</v>
      </c>
      <c r="C194" t="s">
        <v>410</v>
      </c>
      <c r="D194" t="s">
        <v>32</v>
      </c>
      <c r="E194" t="s">
        <v>24</v>
      </c>
      <c r="F194" t="s">
        <v>88</v>
      </c>
      <c r="G194">
        <v>108.27</v>
      </c>
      <c r="H194">
        <v>16.2</v>
      </c>
      <c r="I194">
        <v>1</v>
      </c>
      <c r="J194" t="str">
        <f>TEXT(SalesData[[#This Row],[Order Date]],"mmm")</f>
        <v>Jul</v>
      </c>
      <c r="K194">
        <f>YEAR(SalesData[[#This Row],[Order Date]])</f>
        <v>2025</v>
      </c>
      <c r="L194" s="3">
        <f>SalesData[[#This Row],[Profit]]/SalesData[[#This Row],[Sales]]</f>
        <v>0.14962593516209477</v>
      </c>
    </row>
    <row r="195" spans="1:12">
      <c r="A195" t="s">
        <v>411</v>
      </c>
      <c r="B195" s="2">
        <v>45806</v>
      </c>
      <c r="C195" t="s">
        <v>287</v>
      </c>
      <c r="D195" t="s">
        <v>28</v>
      </c>
      <c r="E195" t="s">
        <v>15</v>
      </c>
      <c r="F195" t="s">
        <v>16</v>
      </c>
      <c r="G195">
        <v>85.02</v>
      </c>
      <c r="H195">
        <v>13.45</v>
      </c>
      <c r="I195">
        <v>3</v>
      </c>
      <c r="J195" t="str">
        <f>TEXT(SalesData[[#This Row],[Order Date]],"mmm")</f>
        <v>May</v>
      </c>
      <c r="K195">
        <f>YEAR(SalesData[[#This Row],[Order Date]])</f>
        <v>2025</v>
      </c>
      <c r="L195" s="3">
        <f>SalesData[[#This Row],[Profit]]/SalesData[[#This Row],[Sales]]</f>
        <v>0.15819807104210773</v>
      </c>
    </row>
    <row r="196" spans="1:12">
      <c r="A196" t="s">
        <v>412</v>
      </c>
      <c r="B196" s="2">
        <v>45739</v>
      </c>
      <c r="C196" t="s">
        <v>413</v>
      </c>
      <c r="D196" t="s">
        <v>28</v>
      </c>
      <c r="E196" t="s">
        <v>33</v>
      </c>
      <c r="F196" t="s">
        <v>308</v>
      </c>
      <c r="G196">
        <v>239.72</v>
      </c>
      <c r="H196">
        <v>57.7</v>
      </c>
      <c r="I196">
        <v>4</v>
      </c>
      <c r="J196" t="str">
        <f>TEXT(SalesData[[#This Row],[Order Date]],"mmm")</f>
        <v>Mar</v>
      </c>
      <c r="K196">
        <f>YEAR(SalesData[[#This Row],[Order Date]])</f>
        <v>2025</v>
      </c>
      <c r="L196" s="3">
        <f>SalesData[[#This Row],[Profit]]/SalesData[[#This Row],[Sales]]</f>
        <v>0.24069748039379277</v>
      </c>
    </row>
    <row r="197" spans="1:12">
      <c r="A197" t="s">
        <v>414</v>
      </c>
      <c r="B197" s="2">
        <v>45781</v>
      </c>
      <c r="C197" t="s">
        <v>415</v>
      </c>
      <c r="D197" t="s">
        <v>14</v>
      </c>
      <c r="E197" t="s">
        <v>15</v>
      </c>
      <c r="F197" t="s">
        <v>29</v>
      </c>
      <c r="G197">
        <v>79.760000000000005</v>
      </c>
      <c r="H197">
        <v>14.07</v>
      </c>
      <c r="I197">
        <v>4</v>
      </c>
      <c r="J197" t="str">
        <f>TEXT(SalesData[[#This Row],[Order Date]],"mmm")</f>
        <v>May</v>
      </c>
      <c r="K197">
        <f>YEAR(SalesData[[#This Row],[Order Date]])</f>
        <v>2025</v>
      </c>
      <c r="L197" s="3">
        <f>SalesData[[#This Row],[Profit]]/SalesData[[#This Row],[Sales]]</f>
        <v>0.17640421263791373</v>
      </c>
    </row>
    <row r="198" spans="1:12">
      <c r="A198" t="s">
        <v>416</v>
      </c>
      <c r="B198" s="2">
        <v>45804</v>
      </c>
      <c r="C198" t="s">
        <v>84</v>
      </c>
      <c r="D198" t="s">
        <v>32</v>
      </c>
      <c r="E198" t="s">
        <v>24</v>
      </c>
      <c r="F198" t="s">
        <v>97</v>
      </c>
      <c r="G198">
        <v>844.26</v>
      </c>
      <c r="H198">
        <v>152.52000000000001</v>
      </c>
      <c r="I198">
        <v>6</v>
      </c>
      <c r="J198" t="str">
        <f>TEXT(SalesData[[#This Row],[Order Date]],"mmm")</f>
        <v>May</v>
      </c>
      <c r="K198">
        <f>YEAR(SalesData[[#This Row],[Order Date]])</f>
        <v>2025</v>
      </c>
      <c r="L198" s="3">
        <f>SalesData[[#This Row],[Profit]]/SalesData[[#This Row],[Sales]]</f>
        <v>0.18065524838319949</v>
      </c>
    </row>
    <row r="199" spans="1:12">
      <c r="A199" t="s">
        <v>417</v>
      </c>
      <c r="B199" s="2">
        <v>45684</v>
      </c>
      <c r="C199" t="s">
        <v>418</v>
      </c>
      <c r="D199" t="s">
        <v>19</v>
      </c>
      <c r="E199" t="s">
        <v>24</v>
      </c>
      <c r="F199" t="s">
        <v>97</v>
      </c>
      <c r="G199">
        <v>147.5</v>
      </c>
      <c r="H199">
        <v>28.04</v>
      </c>
      <c r="I199">
        <v>1</v>
      </c>
      <c r="J199" t="str">
        <f>TEXT(SalesData[[#This Row],[Order Date]],"mmm")</f>
        <v>Jan</v>
      </c>
      <c r="K199">
        <f>YEAR(SalesData[[#This Row],[Order Date]])</f>
        <v>2025</v>
      </c>
      <c r="L199" s="3">
        <f>SalesData[[#This Row],[Profit]]/SalesData[[#This Row],[Sales]]</f>
        <v>0.19010169491525422</v>
      </c>
    </row>
    <row r="200" spans="1:12">
      <c r="A200" t="s">
        <v>419</v>
      </c>
      <c r="B200" s="2">
        <v>45977</v>
      </c>
      <c r="C200" t="s">
        <v>420</v>
      </c>
      <c r="D200" t="s">
        <v>32</v>
      </c>
      <c r="E200" t="s">
        <v>15</v>
      </c>
      <c r="F200" t="s">
        <v>82</v>
      </c>
      <c r="G200">
        <v>80.02</v>
      </c>
      <c r="H200">
        <v>10.7</v>
      </c>
      <c r="I200">
        <v>4</v>
      </c>
      <c r="J200" t="str">
        <f>TEXT(SalesData[[#This Row],[Order Date]],"mmm")</f>
        <v>Nov</v>
      </c>
      <c r="K200">
        <f>YEAR(SalesData[[#This Row],[Order Date]])</f>
        <v>2025</v>
      </c>
      <c r="L200" s="3">
        <f>SalesData[[#This Row],[Profit]]/SalesData[[#This Row],[Sales]]</f>
        <v>0.13371657085728567</v>
      </c>
    </row>
    <row r="201" spans="1:12">
      <c r="A201" t="s">
        <v>421</v>
      </c>
      <c r="B201" s="2">
        <v>45731</v>
      </c>
      <c r="C201" t="s">
        <v>422</v>
      </c>
      <c r="D201" t="s">
        <v>23</v>
      </c>
      <c r="E201" t="s">
        <v>24</v>
      </c>
      <c r="F201" t="s">
        <v>25</v>
      </c>
      <c r="G201">
        <v>32.840000000000003</v>
      </c>
      <c r="H201">
        <v>7.97</v>
      </c>
      <c r="I201">
        <v>1</v>
      </c>
      <c r="J201" t="str">
        <f>TEXT(SalesData[[#This Row],[Order Date]],"mmm")</f>
        <v>Mar</v>
      </c>
      <c r="K201">
        <f>YEAR(SalesData[[#This Row],[Order Date]])</f>
        <v>2025</v>
      </c>
      <c r="L201" s="3">
        <f>SalesData[[#This Row],[Profit]]/SalesData[[#This Row],[Sales]]</f>
        <v>0.24269183922046281</v>
      </c>
    </row>
    <row r="202" spans="1:12">
      <c r="A202" t="s">
        <v>423</v>
      </c>
      <c r="B202" s="2">
        <v>45923</v>
      </c>
      <c r="C202" t="s">
        <v>424</v>
      </c>
      <c r="D202" t="s">
        <v>23</v>
      </c>
      <c r="E202" t="s">
        <v>37</v>
      </c>
      <c r="F202" t="s">
        <v>85</v>
      </c>
      <c r="G202">
        <v>168.69</v>
      </c>
      <c r="H202">
        <v>24.93</v>
      </c>
      <c r="I202">
        <v>3</v>
      </c>
      <c r="J202" t="str">
        <f>TEXT(SalesData[[#This Row],[Order Date]],"mmm")</f>
        <v>Sep</v>
      </c>
      <c r="K202">
        <f>YEAR(SalesData[[#This Row],[Order Date]])</f>
        <v>2025</v>
      </c>
      <c r="L202" s="3">
        <f>SalesData[[#This Row],[Profit]]/SalesData[[#This Row],[Sales]]</f>
        <v>0.14778587942379512</v>
      </c>
    </row>
    <row r="203" spans="1:12">
      <c r="A203" t="s">
        <v>425</v>
      </c>
      <c r="B203" s="2">
        <v>45973</v>
      </c>
      <c r="C203" t="s">
        <v>228</v>
      </c>
      <c r="D203" t="s">
        <v>23</v>
      </c>
      <c r="E203" t="s">
        <v>24</v>
      </c>
      <c r="F203" t="s">
        <v>55</v>
      </c>
      <c r="G203">
        <v>1152.46</v>
      </c>
      <c r="H203">
        <v>-112.35</v>
      </c>
      <c r="I203">
        <v>5</v>
      </c>
      <c r="J203" t="str">
        <f>TEXT(SalesData[[#This Row],[Order Date]],"mmm")</f>
        <v>Nov</v>
      </c>
      <c r="K203">
        <f>YEAR(SalesData[[#This Row],[Order Date]])</f>
        <v>2025</v>
      </c>
      <c r="L203" s="3">
        <f>SalesData[[#This Row],[Profit]]/SalesData[[#This Row],[Sales]]</f>
        <v>-9.748711452024364E-2</v>
      </c>
    </row>
    <row r="204" spans="1:12">
      <c r="A204" t="s">
        <v>426</v>
      </c>
      <c r="B204" s="2">
        <v>45827</v>
      </c>
      <c r="C204" t="s">
        <v>427</v>
      </c>
      <c r="D204" t="s">
        <v>28</v>
      </c>
      <c r="E204" t="s">
        <v>33</v>
      </c>
      <c r="F204" t="s">
        <v>52</v>
      </c>
      <c r="G204">
        <v>2240.75</v>
      </c>
      <c r="H204">
        <v>547.64</v>
      </c>
      <c r="I204">
        <v>5</v>
      </c>
      <c r="J204" t="str">
        <f>TEXT(SalesData[[#This Row],[Order Date]],"mmm")</f>
        <v>Jun</v>
      </c>
      <c r="K204">
        <f>YEAR(SalesData[[#This Row],[Order Date]])</f>
        <v>2025</v>
      </c>
      <c r="L204" s="3">
        <f>SalesData[[#This Row],[Profit]]/SalesData[[#This Row],[Sales]]</f>
        <v>0.24440031239540333</v>
      </c>
    </row>
    <row r="205" spans="1:12">
      <c r="A205" t="s">
        <v>428</v>
      </c>
      <c r="B205" s="2">
        <v>45954</v>
      </c>
      <c r="C205" t="s">
        <v>429</v>
      </c>
      <c r="D205" t="s">
        <v>32</v>
      </c>
      <c r="E205" t="s">
        <v>33</v>
      </c>
      <c r="F205" t="s">
        <v>170</v>
      </c>
      <c r="G205">
        <v>2904.8</v>
      </c>
      <c r="H205">
        <v>538.41999999999996</v>
      </c>
      <c r="I205">
        <v>5</v>
      </c>
      <c r="J205" t="str">
        <f>TEXT(SalesData[[#This Row],[Order Date]],"mmm")</f>
        <v>Oct</v>
      </c>
      <c r="K205">
        <f>YEAR(SalesData[[#This Row],[Order Date]])</f>
        <v>2025</v>
      </c>
      <c r="L205" s="3">
        <f>SalesData[[#This Row],[Profit]]/SalesData[[#This Row],[Sales]]</f>
        <v>0.18535527402919302</v>
      </c>
    </row>
    <row r="206" spans="1:12">
      <c r="A206" t="s">
        <v>430</v>
      </c>
      <c r="B206" s="2">
        <v>45733</v>
      </c>
      <c r="C206" t="s">
        <v>276</v>
      </c>
      <c r="D206" t="s">
        <v>32</v>
      </c>
      <c r="E206" t="s">
        <v>33</v>
      </c>
      <c r="F206" t="s">
        <v>52</v>
      </c>
      <c r="G206">
        <v>112.58</v>
      </c>
      <c r="H206">
        <v>15.01</v>
      </c>
      <c r="I206">
        <v>2</v>
      </c>
      <c r="J206" t="str">
        <f>TEXT(SalesData[[#This Row],[Order Date]],"mmm")</f>
        <v>Mar</v>
      </c>
      <c r="K206">
        <f>YEAR(SalesData[[#This Row],[Order Date]])</f>
        <v>2025</v>
      </c>
      <c r="L206" s="3">
        <f>SalesData[[#This Row],[Profit]]/SalesData[[#This Row],[Sales]]</f>
        <v>0.1333274116184047</v>
      </c>
    </row>
    <row r="207" spans="1:12">
      <c r="A207" t="s">
        <v>431</v>
      </c>
      <c r="B207" s="2">
        <v>46011</v>
      </c>
      <c r="C207" t="s">
        <v>432</v>
      </c>
      <c r="D207" t="s">
        <v>23</v>
      </c>
      <c r="E207" t="s">
        <v>41</v>
      </c>
      <c r="F207" t="s">
        <v>71</v>
      </c>
      <c r="G207">
        <v>1484.91</v>
      </c>
      <c r="H207">
        <v>341.04</v>
      </c>
      <c r="I207">
        <v>6</v>
      </c>
      <c r="J207" t="str">
        <f>TEXT(SalesData[[#This Row],[Order Date]],"mmm")</f>
        <v>Dec</v>
      </c>
      <c r="K207">
        <f>YEAR(SalesData[[#This Row],[Order Date]])</f>
        <v>2025</v>
      </c>
      <c r="L207" s="3">
        <f>SalesData[[#This Row],[Profit]]/SalesData[[#This Row],[Sales]]</f>
        <v>0.22967048507990384</v>
      </c>
    </row>
    <row r="208" spans="1:12">
      <c r="A208" t="s">
        <v>433</v>
      </c>
      <c r="B208" s="2">
        <v>45997</v>
      </c>
      <c r="C208" t="s">
        <v>413</v>
      </c>
      <c r="D208" t="s">
        <v>28</v>
      </c>
      <c r="E208" t="s">
        <v>24</v>
      </c>
      <c r="F208" t="s">
        <v>134</v>
      </c>
      <c r="G208">
        <v>1544.26</v>
      </c>
      <c r="H208">
        <v>263.85000000000002</v>
      </c>
      <c r="I208">
        <v>4</v>
      </c>
      <c r="J208" t="str">
        <f>TEXT(SalesData[[#This Row],[Order Date]],"mmm")</f>
        <v>Dec</v>
      </c>
      <c r="K208">
        <f>YEAR(SalesData[[#This Row],[Order Date]])</f>
        <v>2025</v>
      </c>
      <c r="L208" s="3">
        <f>SalesData[[#This Row],[Profit]]/SalesData[[#This Row],[Sales]]</f>
        <v>0.17085853418465805</v>
      </c>
    </row>
    <row r="209" spans="1:12">
      <c r="A209" t="s">
        <v>434</v>
      </c>
      <c r="B209" s="2">
        <v>46006</v>
      </c>
      <c r="C209" t="s">
        <v>435</v>
      </c>
      <c r="D209" t="s">
        <v>23</v>
      </c>
      <c r="E209" t="s">
        <v>33</v>
      </c>
      <c r="F209" t="s">
        <v>170</v>
      </c>
      <c r="G209">
        <v>1821.06</v>
      </c>
      <c r="H209">
        <v>446.88</v>
      </c>
      <c r="I209">
        <v>3</v>
      </c>
      <c r="J209" t="str">
        <f>TEXT(SalesData[[#This Row],[Order Date]],"mmm")</f>
        <v>Dec</v>
      </c>
      <c r="K209">
        <f>YEAR(SalesData[[#This Row],[Order Date]])</f>
        <v>2025</v>
      </c>
      <c r="L209" s="3">
        <f>SalesData[[#This Row],[Profit]]/SalesData[[#This Row],[Sales]]</f>
        <v>0.24539553886198148</v>
      </c>
    </row>
    <row r="210" spans="1:12">
      <c r="A210" t="s">
        <v>436</v>
      </c>
      <c r="B210" s="2">
        <v>45805</v>
      </c>
      <c r="C210" t="s">
        <v>169</v>
      </c>
      <c r="D210" t="s">
        <v>28</v>
      </c>
      <c r="E210" t="s">
        <v>24</v>
      </c>
      <c r="F210" t="s">
        <v>97</v>
      </c>
      <c r="G210">
        <v>1640.6</v>
      </c>
      <c r="H210">
        <v>425.05</v>
      </c>
      <c r="I210">
        <v>5</v>
      </c>
      <c r="J210" t="str">
        <f>TEXT(SalesData[[#This Row],[Order Date]],"mmm")</f>
        <v>May</v>
      </c>
      <c r="K210">
        <f>YEAR(SalesData[[#This Row],[Order Date]])</f>
        <v>2025</v>
      </c>
      <c r="L210" s="3">
        <f>SalesData[[#This Row],[Profit]]/SalesData[[#This Row],[Sales]]</f>
        <v>0.25908204315494332</v>
      </c>
    </row>
    <row r="211" spans="1:12">
      <c r="A211" t="s">
        <v>437</v>
      </c>
      <c r="B211" s="2">
        <v>45720</v>
      </c>
      <c r="C211" t="s">
        <v>418</v>
      </c>
      <c r="D211" t="s">
        <v>28</v>
      </c>
      <c r="E211" t="s">
        <v>37</v>
      </c>
      <c r="F211" t="s">
        <v>155</v>
      </c>
      <c r="G211">
        <v>172.5</v>
      </c>
      <c r="H211">
        <v>38.07</v>
      </c>
      <c r="I211">
        <v>3</v>
      </c>
      <c r="J211" t="str">
        <f>TEXT(SalesData[[#This Row],[Order Date]],"mmm")</f>
        <v>Mar</v>
      </c>
      <c r="K211">
        <f>YEAR(SalesData[[#This Row],[Order Date]])</f>
        <v>2025</v>
      </c>
      <c r="L211" s="3">
        <f>SalesData[[#This Row],[Profit]]/SalesData[[#This Row],[Sales]]</f>
        <v>0.22069565217391304</v>
      </c>
    </row>
    <row r="212" spans="1:12">
      <c r="A212" t="s">
        <v>438</v>
      </c>
      <c r="B212" s="2">
        <v>45805</v>
      </c>
      <c r="C212" t="s">
        <v>439</v>
      </c>
      <c r="D212" t="s">
        <v>14</v>
      </c>
      <c r="E212" t="s">
        <v>37</v>
      </c>
      <c r="F212" t="s">
        <v>47</v>
      </c>
      <c r="G212">
        <v>188.1</v>
      </c>
      <c r="H212">
        <v>24.51</v>
      </c>
      <c r="I212">
        <v>6</v>
      </c>
      <c r="J212" t="str">
        <f>TEXT(SalesData[[#This Row],[Order Date]],"mmm")</f>
        <v>May</v>
      </c>
      <c r="K212">
        <f>YEAR(SalesData[[#This Row],[Order Date]])</f>
        <v>2025</v>
      </c>
      <c r="L212" s="3">
        <f>SalesData[[#This Row],[Profit]]/SalesData[[#This Row],[Sales]]</f>
        <v>0.13030303030303031</v>
      </c>
    </row>
    <row r="213" spans="1:12">
      <c r="A213" t="s">
        <v>440</v>
      </c>
      <c r="B213" s="2">
        <v>45945</v>
      </c>
      <c r="C213" t="s">
        <v>441</v>
      </c>
      <c r="D213" t="s">
        <v>19</v>
      </c>
      <c r="E213" t="s">
        <v>15</v>
      </c>
      <c r="F213" t="s">
        <v>20</v>
      </c>
      <c r="G213">
        <v>22.12</v>
      </c>
      <c r="H213">
        <v>3.33</v>
      </c>
      <c r="I213">
        <v>2</v>
      </c>
      <c r="J213" t="str">
        <f>TEXT(SalesData[[#This Row],[Order Date]],"mmm")</f>
        <v>Oct</v>
      </c>
      <c r="K213">
        <f>YEAR(SalesData[[#This Row],[Order Date]])</f>
        <v>2025</v>
      </c>
      <c r="L213" s="3">
        <f>SalesData[[#This Row],[Profit]]/SalesData[[#This Row],[Sales]]</f>
        <v>0.15054249547920434</v>
      </c>
    </row>
    <row r="214" spans="1:12">
      <c r="A214" t="s">
        <v>442</v>
      </c>
      <c r="B214" s="2">
        <v>45984</v>
      </c>
      <c r="C214" t="s">
        <v>65</v>
      </c>
      <c r="D214" t="s">
        <v>32</v>
      </c>
      <c r="E214" t="s">
        <v>24</v>
      </c>
      <c r="F214" t="s">
        <v>88</v>
      </c>
      <c r="G214">
        <v>279.36</v>
      </c>
      <c r="H214">
        <v>81.83</v>
      </c>
      <c r="I214">
        <v>1</v>
      </c>
      <c r="J214" t="str">
        <f>TEXT(SalesData[[#This Row],[Order Date]],"mmm")</f>
        <v>Nov</v>
      </c>
      <c r="K214">
        <f>YEAR(SalesData[[#This Row],[Order Date]])</f>
        <v>2025</v>
      </c>
      <c r="L214" s="3">
        <f>SalesData[[#This Row],[Profit]]/SalesData[[#This Row],[Sales]]</f>
        <v>0.29291953035509732</v>
      </c>
    </row>
    <row r="215" spans="1:12">
      <c r="A215" t="s">
        <v>443</v>
      </c>
      <c r="B215" s="2">
        <v>45738</v>
      </c>
      <c r="C215" t="s">
        <v>214</v>
      </c>
      <c r="D215" t="s">
        <v>28</v>
      </c>
      <c r="E215" t="s">
        <v>41</v>
      </c>
      <c r="F215" t="s">
        <v>58</v>
      </c>
      <c r="G215">
        <v>267.66000000000003</v>
      </c>
      <c r="H215">
        <v>30.72</v>
      </c>
      <c r="I215">
        <v>3</v>
      </c>
      <c r="J215" t="str">
        <f>TEXT(SalesData[[#This Row],[Order Date]],"mmm")</f>
        <v>Mar</v>
      </c>
      <c r="K215">
        <f>YEAR(SalesData[[#This Row],[Order Date]])</f>
        <v>2025</v>
      </c>
      <c r="L215" s="3">
        <f>SalesData[[#This Row],[Profit]]/SalesData[[#This Row],[Sales]]</f>
        <v>0.11477247253978927</v>
      </c>
    </row>
    <row r="216" spans="1:12">
      <c r="A216" t="s">
        <v>444</v>
      </c>
      <c r="B216" s="2">
        <v>45991</v>
      </c>
      <c r="C216" t="s">
        <v>429</v>
      </c>
      <c r="D216" t="s">
        <v>23</v>
      </c>
      <c r="E216" t="s">
        <v>41</v>
      </c>
      <c r="F216" t="s">
        <v>42</v>
      </c>
      <c r="G216">
        <v>321.66000000000003</v>
      </c>
      <c r="H216">
        <v>107.27</v>
      </c>
      <c r="I216">
        <v>2</v>
      </c>
      <c r="J216" t="str">
        <f>TEXT(SalesData[[#This Row],[Order Date]],"mmm")</f>
        <v>Nov</v>
      </c>
      <c r="K216">
        <f>YEAR(SalesData[[#This Row],[Order Date]])</f>
        <v>2025</v>
      </c>
      <c r="L216" s="3">
        <f>SalesData[[#This Row],[Profit]]/SalesData[[#This Row],[Sales]]</f>
        <v>0.33348877696947082</v>
      </c>
    </row>
    <row r="217" spans="1:12">
      <c r="A217" t="s">
        <v>445</v>
      </c>
      <c r="B217" s="2">
        <v>45861</v>
      </c>
      <c r="C217" t="s">
        <v>446</v>
      </c>
      <c r="D217" t="s">
        <v>19</v>
      </c>
      <c r="E217" t="s">
        <v>37</v>
      </c>
      <c r="F217" t="s">
        <v>47</v>
      </c>
      <c r="G217">
        <v>5.51</v>
      </c>
      <c r="H217">
        <v>1.02</v>
      </c>
      <c r="I217">
        <v>1</v>
      </c>
      <c r="J217" t="str">
        <f>TEXT(SalesData[[#This Row],[Order Date]],"mmm")</f>
        <v>Jul</v>
      </c>
      <c r="K217">
        <f>YEAR(SalesData[[#This Row],[Order Date]])</f>
        <v>2025</v>
      </c>
      <c r="L217" s="3">
        <f>SalesData[[#This Row],[Profit]]/SalesData[[#This Row],[Sales]]</f>
        <v>0.18511796733212343</v>
      </c>
    </row>
    <row r="218" spans="1:12">
      <c r="A218" t="s">
        <v>447</v>
      </c>
      <c r="B218" s="2">
        <v>45829</v>
      </c>
      <c r="C218" t="s">
        <v>99</v>
      </c>
      <c r="D218" t="s">
        <v>23</v>
      </c>
      <c r="E218" t="s">
        <v>33</v>
      </c>
      <c r="F218" t="s">
        <v>170</v>
      </c>
      <c r="G218">
        <v>2212.5</v>
      </c>
      <c r="H218">
        <v>249.52</v>
      </c>
      <c r="I218">
        <v>5</v>
      </c>
      <c r="J218" t="str">
        <f>TEXT(SalesData[[#This Row],[Order Date]],"mmm")</f>
        <v>Jun</v>
      </c>
      <c r="K218">
        <f>YEAR(SalesData[[#This Row],[Order Date]])</f>
        <v>2025</v>
      </c>
      <c r="L218" s="3">
        <f>SalesData[[#This Row],[Profit]]/SalesData[[#This Row],[Sales]]</f>
        <v>0.11277740112994351</v>
      </c>
    </row>
    <row r="219" spans="1:12">
      <c r="A219" t="s">
        <v>448</v>
      </c>
      <c r="B219" s="2">
        <v>45741</v>
      </c>
      <c r="C219" t="s">
        <v>345</v>
      </c>
      <c r="D219" t="s">
        <v>14</v>
      </c>
      <c r="E219" t="s">
        <v>41</v>
      </c>
      <c r="F219" t="s">
        <v>42</v>
      </c>
      <c r="G219">
        <v>605.1</v>
      </c>
      <c r="H219">
        <v>105.14</v>
      </c>
      <c r="I219">
        <v>6</v>
      </c>
      <c r="J219" t="str">
        <f>TEXT(SalesData[[#This Row],[Order Date]],"mmm")</f>
        <v>Mar</v>
      </c>
      <c r="K219">
        <f>YEAR(SalesData[[#This Row],[Order Date]])</f>
        <v>2025</v>
      </c>
      <c r="L219" s="3">
        <f>SalesData[[#This Row],[Profit]]/SalesData[[#This Row],[Sales]]</f>
        <v>0.17375640390018179</v>
      </c>
    </row>
    <row r="220" spans="1:12">
      <c r="A220" t="s">
        <v>449</v>
      </c>
      <c r="B220" s="2">
        <v>45756</v>
      </c>
      <c r="C220" t="s">
        <v>450</v>
      </c>
      <c r="D220" t="s">
        <v>28</v>
      </c>
      <c r="E220" t="s">
        <v>41</v>
      </c>
      <c r="F220" t="s">
        <v>68</v>
      </c>
      <c r="G220">
        <v>133.56</v>
      </c>
      <c r="H220">
        <v>35.700000000000003</v>
      </c>
      <c r="I220">
        <v>3</v>
      </c>
      <c r="J220" t="str">
        <f>TEXT(SalesData[[#This Row],[Order Date]],"mmm")</f>
        <v>Apr</v>
      </c>
      <c r="K220">
        <f>YEAR(SalesData[[#This Row],[Order Date]])</f>
        <v>2025</v>
      </c>
      <c r="L220" s="3">
        <f>SalesData[[#This Row],[Profit]]/SalesData[[#This Row],[Sales]]</f>
        <v>0.26729559748427673</v>
      </c>
    </row>
    <row r="221" spans="1:12">
      <c r="A221" t="s">
        <v>451</v>
      </c>
      <c r="B221" s="2">
        <v>45729</v>
      </c>
      <c r="C221" t="s">
        <v>452</v>
      </c>
      <c r="D221" t="s">
        <v>19</v>
      </c>
      <c r="E221" t="s">
        <v>15</v>
      </c>
      <c r="F221" t="s">
        <v>109</v>
      </c>
      <c r="G221">
        <v>32.340000000000003</v>
      </c>
      <c r="H221">
        <v>2.91</v>
      </c>
      <c r="I221">
        <v>2</v>
      </c>
      <c r="J221" t="str">
        <f>TEXT(SalesData[[#This Row],[Order Date]],"mmm")</f>
        <v>Mar</v>
      </c>
      <c r="K221">
        <f>YEAR(SalesData[[#This Row],[Order Date]])</f>
        <v>2025</v>
      </c>
      <c r="L221" s="3">
        <f>SalesData[[#This Row],[Profit]]/SalesData[[#This Row],[Sales]]</f>
        <v>8.9981447124304267E-2</v>
      </c>
    </row>
    <row r="222" spans="1:12">
      <c r="A222" t="s">
        <v>453</v>
      </c>
      <c r="B222" s="2">
        <v>45956</v>
      </c>
      <c r="C222" t="s">
        <v>454</v>
      </c>
      <c r="D222" t="s">
        <v>32</v>
      </c>
      <c r="E222" t="s">
        <v>24</v>
      </c>
      <c r="F222" t="s">
        <v>97</v>
      </c>
      <c r="G222">
        <v>587.88</v>
      </c>
      <c r="H222">
        <v>137.30000000000001</v>
      </c>
      <c r="I222">
        <v>6</v>
      </c>
      <c r="J222" t="str">
        <f>TEXT(SalesData[[#This Row],[Order Date]],"mmm")</f>
        <v>Oct</v>
      </c>
      <c r="K222">
        <f>YEAR(SalesData[[#This Row],[Order Date]])</f>
        <v>2025</v>
      </c>
      <c r="L222" s="3">
        <f>SalesData[[#This Row],[Profit]]/SalesData[[#This Row],[Sales]]</f>
        <v>0.23355106484316529</v>
      </c>
    </row>
    <row r="223" spans="1:12">
      <c r="A223" t="s">
        <v>455</v>
      </c>
      <c r="B223" s="2">
        <v>45739</v>
      </c>
      <c r="C223" t="s">
        <v>456</v>
      </c>
      <c r="D223" t="s">
        <v>14</v>
      </c>
      <c r="E223" t="s">
        <v>41</v>
      </c>
      <c r="F223" t="s">
        <v>58</v>
      </c>
      <c r="G223">
        <v>489.87</v>
      </c>
      <c r="H223">
        <v>75.819999999999993</v>
      </c>
      <c r="I223">
        <v>3</v>
      </c>
      <c r="J223" t="str">
        <f>TEXT(SalesData[[#This Row],[Order Date]],"mmm")</f>
        <v>Mar</v>
      </c>
      <c r="K223">
        <f>YEAR(SalesData[[#This Row],[Order Date]])</f>
        <v>2025</v>
      </c>
      <c r="L223" s="3">
        <f>SalesData[[#This Row],[Profit]]/SalesData[[#This Row],[Sales]]</f>
        <v>0.1547757568334456</v>
      </c>
    </row>
    <row r="224" spans="1:12">
      <c r="A224" t="s">
        <v>457</v>
      </c>
      <c r="B224" s="2">
        <v>45736</v>
      </c>
      <c r="C224" t="s">
        <v>203</v>
      </c>
      <c r="D224" t="s">
        <v>14</v>
      </c>
      <c r="E224" t="s">
        <v>24</v>
      </c>
      <c r="F224" t="s">
        <v>55</v>
      </c>
      <c r="G224">
        <v>1079.72</v>
      </c>
      <c r="H224">
        <v>281.16000000000003</v>
      </c>
      <c r="I224">
        <v>4</v>
      </c>
      <c r="J224" t="str">
        <f>TEXT(SalesData[[#This Row],[Order Date]],"mmm")</f>
        <v>Mar</v>
      </c>
      <c r="K224">
        <f>YEAR(SalesData[[#This Row],[Order Date]])</f>
        <v>2025</v>
      </c>
      <c r="L224" s="3">
        <f>SalesData[[#This Row],[Profit]]/SalesData[[#This Row],[Sales]]</f>
        <v>0.26040084466343127</v>
      </c>
    </row>
    <row r="225" spans="1:12">
      <c r="A225" t="s">
        <v>458</v>
      </c>
      <c r="B225" s="2">
        <v>45784</v>
      </c>
      <c r="C225" t="s">
        <v>420</v>
      </c>
      <c r="D225" t="s">
        <v>32</v>
      </c>
      <c r="E225" t="s">
        <v>33</v>
      </c>
      <c r="F225" t="s">
        <v>34</v>
      </c>
      <c r="G225">
        <v>2106.7800000000002</v>
      </c>
      <c r="H225">
        <v>497.06</v>
      </c>
      <c r="I225">
        <v>6</v>
      </c>
      <c r="J225" t="str">
        <f>TEXT(SalesData[[#This Row],[Order Date]],"mmm")</f>
        <v>May</v>
      </c>
      <c r="K225">
        <f>YEAR(SalesData[[#This Row],[Order Date]])</f>
        <v>2025</v>
      </c>
      <c r="L225" s="3">
        <f>SalesData[[#This Row],[Profit]]/SalesData[[#This Row],[Sales]]</f>
        <v>0.23593350990611262</v>
      </c>
    </row>
    <row r="226" spans="1:12">
      <c r="A226" t="s">
        <v>459</v>
      </c>
      <c r="B226" s="2">
        <v>45938</v>
      </c>
      <c r="C226" t="s">
        <v>460</v>
      </c>
      <c r="D226" t="s">
        <v>19</v>
      </c>
      <c r="E226" t="s">
        <v>33</v>
      </c>
      <c r="F226" t="s">
        <v>170</v>
      </c>
      <c r="G226">
        <v>644.36</v>
      </c>
      <c r="H226">
        <v>108.55</v>
      </c>
      <c r="I226">
        <v>2</v>
      </c>
      <c r="J226" t="str">
        <f>TEXT(SalesData[[#This Row],[Order Date]],"mmm")</f>
        <v>Oct</v>
      </c>
      <c r="K226">
        <f>YEAR(SalesData[[#This Row],[Order Date]])</f>
        <v>2025</v>
      </c>
      <c r="L226" s="3">
        <f>SalesData[[#This Row],[Profit]]/SalesData[[#This Row],[Sales]]</f>
        <v>0.16846172946799925</v>
      </c>
    </row>
    <row r="227" spans="1:12">
      <c r="A227" t="s">
        <v>461</v>
      </c>
      <c r="B227" s="2">
        <v>45763</v>
      </c>
      <c r="C227" t="s">
        <v>462</v>
      </c>
      <c r="D227" t="s">
        <v>28</v>
      </c>
      <c r="E227" t="s">
        <v>15</v>
      </c>
      <c r="F227" t="s">
        <v>20</v>
      </c>
      <c r="G227">
        <v>100.88</v>
      </c>
      <c r="H227">
        <v>11.91</v>
      </c>
      <c r="I227">
        <v>4</v>
      </c>
      <c r="J227" t="str">
        <f>TEXT(SalesData[[#This Row],[Order Date]],"mmm")</f>
        <v>Apr</v>
      </c>
      <c r="K227">
        <f>YEAR(SalesData[[#This Row],[Order Date]])</f>
        <v>2025</v>
      </c>
      <c r="L227" s="3">
        <f>SalesData[[#This Row],[Profit]]/SalesData[[#This Row],[Sales]]</f>
        <v>0.11806106264869153</v>
      </c>
    </row>
    <row r="228" spans="1:12">
      <c r="A228" t="s">
        <v>463</v>
      </c>
      <c r="B228" s="2">
        <v>45891</v>
      </c>
      <c r="C228" t="s">
        <v>464</v>
      </c>
      <c r="D228" t="s">
        <v>23</v>
      </c>
      <c r="E228" t="s">
        <v>33</v>
      </c>
      <c r="F228" t="s">
        <v>308</v>
      </c>
      <c r="G228">
        <v>352.32</v>
      </c>
      <c r="H228">
        <v>-21.71</v>
      </c>
      <c r="I228">
        <v>6</v>
      </c>
      <c r="J228" t="str">
        <f>TEXT(SalesData[[#This Row],[Order Date]],"mmm")</f>
        <v>Aug</v>
      </c>
      <c r="K228">
        <f>YEAR(SalesData[[#This Row],[Order Date]])</f>
        <v>2025</v>
      </c>
      <c r="L228" s="3">
        <f>SalesData[[#This Row],[Profit]]/SalesData[[#This Row],[Sales]]</f>
        <v>-6.1620118074477752E-2</v>
      </c>
    </row>
    <row r="229" spans="1:12">
      <c r="A229" t="s">
        <v>465</v>
      </c>
      <c r="B229" s="2">
        <v>45769</v>
      </c>
      <c r="C229" t="s">
        <v>466</v>
      </c>
      <c r="D229" t="s">
        <v>32</v>
      </c>
      <c r="E229" t="s">
        <v>24</v>
      </c>
      <c r="F229" t="s">
        <v>25</v>
      </c>
      <c r="G229">
        <v>1740.3</v>
      </c>
      <c r="H229">
        <v>499.32</v>
      </c>
      <c r="I229">
        <v>5</v>
      </c>
      <c r="J229" t="str">
        <f>TEXT(SalesData[[#This Row],[Order Date]],"mmm")</f>
        <v>Apr</v>
      </c>
      <c r="K229">
        <f>YEAR(SalesData[[#This Row],[Order Date]])</f>
        <v>2025</v>
      </c>
      <c r="L229" s="3">
        <f>SalesData[[#This Row],[Profit]]/SalesData[[#This Row],[Sales]]</f>
        <v>0.2869160489570764</v>
      </c>
    </row>
    <row r="230" spans="1:12">
      <c r="A230" t="s">
        <v>467</v>
      </c>
      <c r="B230" s="2">
        <v>45899</v>
      </c>
      <c r="C230" t="s">
        <v>369</v>
      </c>
      <c r="D230" t="s">
        <v>28</v>
      </c>
      <c r="E230" t="s">
        <v>15</v>
      </c>
      <c r="F230" t="s">
        <v>16</v>
      </c>
      <c r="G230">
        <v>176.76</v>
      </c>
      <c r="H230">
        <v>25.96</v>
      </c>
      <c r="I230">
        <v>6</v>
      </c>
      <c r="J230" t="str">
        <f>TEXT(SalesData[[#This Row],[Order Date]],"mmm")</f>
        <v>Aug</v>
      </c>
      <c r="K230">
        <f>YEAR(SalesData[[#This Row],[Order Date]])</f>
        <v>2025</v>
      </c>
      <c r="L230" s="3">
        <f>SalesData[[#This Row],[Profit]]/SalesData[[#This Row],[Sales]]</f>
        <v>0.14686580674360716</v>
      </c>
    </row>
    <row r="231" spans="1:12">
      <c r="A231" t="s">
        <v>468</v>
      </c>
      <c r="B231" s="2">
        <v>45853</v>
      </c>
      <c r="C231" t="s">
        <v>469</v>
      </c>
      <c r="D231" t="s">
        <v>28</v>
      </c>
      <c r="E231" t="s">
        <v>15</v>
      </c>
      <c r="F231" t="s">
        <v>20</v>
      </c>
      <c r="G231">
        <v>42.68</v>
      </c>
      <c r="H231">
        <v>4.3600000000000003</v>
      </c>
      <c r="I231">
        <v>2</v>
      </c>
      <c r="J231" t="str">
        <f>TEXT(SalesData[[#This Row],[Order Date]],"mmm")</f>
        <v>Jul</v>
      </c>
      <c r="K231">
        <f>YEAR(SalesData[[#This Row],[Order Date]])</f>
        <v>2025</v>
      </c>
      <c r="L231" s="3">
        <f>SalesData[[#This Row],[Profit]]/SalesData[[#This Row],[Sales]]</f>
        <v>0.10215557638238051</v>
      </c>
    </row>
    <row r="232" spans="1:12">
      <c r="A232" t="s">
        <v>470</v>
      </c>
      <c r="B232" s="2">
        <v>45933</v>
      </c>
      <c r="C232" t="s">
        <v>456</v>
      </c>
      <c r="D232" t="s">
        <v>19</v>
      </c>
      <c r="E232" t="s">
        <v>41</v>
      </c>
      <c r="F232" t="s">
        <v>158</v>
      </c>
      <c r="G232">
        <v>195.14</v>
      </c>
      <c r="H232">
        <v>67.25</v>
      </c>
      <c r="I232">
        <v>1</v>
      </c>
      <c r="J232" t="str">
        <f>TEXT(SalesData[[#This Row],[Order Date]],"mmm")</f>
        <v>Oct</v>
      </c>
      <c r="K232">
        <f>YEAR(SalesData[[#This Row],[Order Date]])</f>
        <v>2025</v>
      </c>
      <c r="L232" s="3">
        <f>SalesData[[#This Row],[Profit]]/SalesData[[#This Row],[Sales]]</f>
        <v>0.3446243722455673</v>
      </c>
    </row>
    <row r="233" spans="1:12">
      <c r="A233" t="s">
        <v>471</v>
      </c>
      <c r="B233" s="2">
        <v>45936</v>
      </c>
      <c r="C233" t="s">
        <v>472</v>
      </c>
      <c r="D233" t="s">
        <v>28</v>
      </c>
      <c r="E233" t="s">
        <v>41</v>
      </c>
      <c r="F233" t="s">
        <v>158</v>
      </c>
      <c r="G233">
        <v>411.56</v>
      </c>
      <c r="H233">
        <v>69.52</v>
      </c>
      <c r="I233">
        <v>4</v>
      </c>
      <c r="J233" t="str">
        <f>TEXT(SalesData[[#This Row],[Order Date]],"mmm")</f>
        <v>Oct</v>
      </c>
      <c r="K233">
        <f>YEAR(SalesData[[#This Row],[Order Date]])</f>
        <v>2025</v>
      </c>
      <c r="L233" s="3">
        <f>SalesData[[#This Row],[Profit]]/SalesData[[#This Row],[Sales]]</f>
        <v>0.16891826222179024</v>
      </c>
    </row>
    <row r="234" spans="1:12">
      <c r="A234" t="s">
        <v>473</v>
      </c>
      <c r="B234" s="2">
        <v>45715</v>
      </c>
      <c r="C234" t="s">
        <v>474</v>
      </c>
      <c r="D234" t="s">
        <v>23</v>
      </c>
      <c r="E234" t="s">
        <v>41</v>
      </c>
      <c r="F234" t="s">
        <v>42</v>
      </c>
      <c r="G234">
        <v>142.74</v>
      </c>
      <c r="H234">
        <v>17.87</v>
      </c>
      <c r="I234">
        <v>2</v>
      </c>
      <c r="J234" t="str">
        <f>TEXT(SalesData[[#This Row],[Order Date]],"mmm")</f>
        <v>Feb</v>
      </c>
      <c r="K234">
        <f>YEAR(SalesData[[#This Row],[Order Date]])</f>
        <v>2025</v>
      </c>
      <c r="L234" s="3">
        <f>SalesData[[#This Row],[Profit]]/SalesData[[#This Row],[Sales]]</f>
        <v>0.12519265797954324</v>
      </c>
    </row>
    <row r="235" spans="1:12">
      <c r="A235" t="s">
        <v>475</v>
      </c>
      <c r="B235" s="2">
        <v>45964</v>
      </c>
      <c r="C235" t="s">
        <v>476</v>
      </c>
      <c r="D235" t="s">
        <v>19</v>
      </c>
      <c r="E235" t="s">
        <v>41</v>
      </c>
      <c r="F235" t="s">
        <v>71</v>
      </c>
      <c r="G235">
        <v>362.28</v>
      </c>
      <c r="H235">
        <v>114.46</v>
      </c>
      <c r="I235">
        <v>4</v>
      </c>
      <c r="J235" t="str">
        <f>TEXT(SalesData[[#This Row],[Order Date]],"mmm")</f>
        <v>Nov</v>
      </c>
      <c r="K235">
        <f>YEAR(SalesData[[#This Row],[Order Date]])</f>
        <v>2025</v>
      </c>
      <c r="L235" s="3">
        <f>SalesData[[#This Row],[Profit]]/SalesData[[#This Row],[Sales]]</f>
        <v>0.3159434691398918</v>
      </c>
    </row>
    <row r="236" spans="1:12">
      <c r="A236" t="s">
        <v>477</v>
      </c>
      <c r="B236" s="2">
        <v>45915</v>
      </c>
      <c r="C236" t="s">
        <v>478</v>
      </c>
      <c r="D236" t="s">
        <v>23</v>
      </c>
      <c r="E236" t="s">
        <v>24</v>
      </c>
      <c r="F236" t="s">
        <v>55</v>
      </c>
      <c r="G236">
        <v>1740.42</v>
      </c>
      <c r="H236">
        <v>256.5</v>
      </c>
      <c r="I236">
        <v>6</v>
      </c>
      <c r="J236" t="str">
        <f>TEXT(SalesData[[#This Row],[Order Date]],"mmm")</f>
        <v>Sep</v>
      </c>
      <c r="K236">
        <f>YEAR(SalesData[[#This Row],[Order Date]])</f>
        <v>2025</v>
      </c>
      <c r="L236" s="3">
        <f>SalesData[[#This Row],[Profit]]/SalesData[[#This Row],[Sales]]</f>
        <v>0.14737821905057399</v>
      </c>
    </row>
    <row r="237" spans="1:12">
      <c r="A237" t="s">
        <v>479</v>
      </c>
      <c r="B237" s="2">
        <v>45996</v>
      </c>
      <c r="C237" t="s">
        <v>480</v>
      </c>
      <c r="D237" t="s">
        <v>28</v>
      </c>
      <c r="E237" t="s">
        <v>24</v>
      </c>
      <c r="F237" t="s">
        <v>25</v>
      </c>
      <c r="G237">
        <v>2270.9899999999998</v>
      </c>
      <c r="H237">
        <v>641.14</v>
      </c>
      <c r="I237">
        <v>5</v>
      </c>
      <c r="J237" t="str">
        <f>TEXT(SalesData[[#This Row],[Order Date]],"mmm")</f>
        <v>Dec</v>
      </c>
      <c r="K237">
        <f>YEAR(SalesData[[#This Row],[Order Date]])</f>
        <v>2025</v>
      </c>
      <c r="L237" s="3">
        <f>SalesData[[#This Row],[Profit]]/SalesData[[#This Row],[Sales]]</f>
        <v>0.28231740342317668</v>
      </c>
    </row>
    <row r="238" spans="1:12">
      <c r="A238" t="s">
        <v>481</v>
      </c>
      <c r="B238" s="2">
        <v>45876</v>
      </c>
      <c r="C238" t="s">
        <v>482</v>
      </c>
      <c r="D238" t="s">
        <v>32</v>
      </c>
      <c r="E238" t="s">
        <v>37</v>
      </c>
      <c r="F238" t="s">
        <v>155</v>
      </c>
      <c r="G238">
        <v>112.65</v>
      </c>
      <c r="H238">
        <v>18.3</v>
      </c>
      <c r="I238">
        <v>5</v>
      </c>
      <c r="J238" t="str">
        <f>TEXT(SalesData[[#This Row],[Order Date]],"mmm")</f>
        <v>Aug</v>
      </c>
      <c r="K238">
        <f>YEAR(SalesData[[#This Row],[Order Date]])</f>
        <v>2025</v>
      </c>
      <c r="L238" s="3">
        <f>SalesData[[#This Row],[Profit]]/SalesData[[#This Row],[Sales]]</f>
        <v>0.16245006657789612</v>
      </c>
    </row>
    <row r="239" spans="1:12">
      <c r="A239" t="s">
        <v>483</v>
      </c>
      <c r="B239" s="2">
        <v>45850</v>
      </c>
      <c r="C239" t="s">
        <v>484</v>
      </c>
      <c r="D239" t="s">
        <v>28</v>
      </c>
      <c r="E239" t="s">
        <v>15</v>
      </c>
      <c r="F239" t="s">
        <v>16</v>
      </c>
      <c r="G239">
        <v>79.319999999999993</v>
      </c>
      <c r="H239">
        <v>5.68</v>
      </c>
      <c r="I239">
        <v>3</v>
      </c>
      <c r="J239" t="str">
        <f>TEXT(SalesData[[#This Row],[Order Date]],"mmm")</f>
        <v>Jul</v>
      </c>
      <c r="K239">
        <f>YEAR(SalesData[[#This Row],[Order Date]])</f>
        <v>2025</v>
      </c>
      <c r="L239" s="3">
        <f>SalesData[[#This Row],[Profit]]/SalesData[[#This Row],[Sales]]</f>
        <v>7.1608673726676758E-2</v>
      </c>
    </row>
    <row r="240" spans="1:12">
      <c r="A240" t="s">
        <v>485</v>
      </c>
      <c r="B240" s="2">
        <v>45687</v>
      </c>
      <c r="C240" t="s">
        <v>268</v>
      </c>
      <c r="D240" t="s">
        <v>28</v>
      </c>
      <c r="E240" t="s">
        <v>33</v>
      </c>
      <c r="F240" t="s">
        <v>170</v>
      </c>
      <c r="G240">
        <v>995.44</v>
      </c>
      <c r="H240">
        <v>114.04</v>
      </c>
      <c r="I240">
        <v>4</v>
      </c>
      <c r="J240" t="str">
        <f>TEXT(SalesData[[#This Row],[Order Date]],"mmm")</f>
        <v>Jan</v>
      </c>
      <c r="K240">
        <f>YEAR(SalesData[[#This Row],[Order Date]])</f>
        <v>2025</v>
      </c>
      <c r="L240" s="3">
        <f>SalesData[[#This Row],[Profit]]/SalesData[[#This Row],[Sales]]</f>
        <v>0.11456240456481556</v>
      </c>
    </row>
    <row r="241" spans="1:12">
      <c r="A241" t="s">
        <v>486</v>
      </c>
      <c r="B241" s="2">
        <v>45888</v>
      </c>
      <c r="C241" t="s">
        <v>487</v>
      </c>
      <c r="D241" t="s">
        <v>32</v>
      </c>
      <c r="E241" t="s">
        <v>33</v>
      </c>
      <c r="F241" t="s">
        <v>170</v>
      </c>
      <c r="G241">
        <v>270.88</v>
      </c>
      <c r="H241">
        <v>52.69</v>
      </c>
      <c r="I241">
        <v>1</v>
      </c>
      <c r="J241" t="str">
        <f>TEXT(SalesData[[#This Row],[Order Date]],"mmm")</f>
        <v>Aug</v>
      </c>
      <c r="K241">
        <f>YEAR(SalesData[[#This Row],[Order Date]])</f>
        <v>2025</v>
      </c>
      <c r="L241" s="3">
        <f>SalesData[[#This Row],[Profit]]/SalesData[[#This Row],[Sales]]</f>
        <v>0.19451417601890136</v>
      </c>
    </row>
    <row r="242" spans="1:12">
      <c r="A242" t="s">
        <v>488</v>
      </c>
      <c r="B242" s="2">
        <v>45695</v>
      </c>
      <c r="C242" t="s">
        <v>415</v>
      </c>
      <c r="D242" t="s">
        <v>23</v>
      </c>
      <c r="E242" t="s">
        <v>15</v>
      </c>
      <c r="F242" t="s">
        <v>16</v>
      </c>
      <c r="G242">
        <v>37.74</v>
      </c>
      <c r="H242">
        <v>7.03</v>
      </c>
      <c r="I242">
        <v>3</v>
      </c>
      <c r="J242" t="str">
        <f>TEXT(SalesData[[#This Row],[Order Date]],"mmm")</f>
        <v>Feb</v>
      </c>
      <c r="K242">
        <f>YEAR(SalesData[[#This Row],[Order Date]])</f>
        <v>2025</v>
      </c>
      <c r="L242" s="3">
        <f>SalesData[[#This Row],[Profit]]/SalesData[[#This Row],[Sales]]</f>
        <v>0.18627450980392157</v>
      </c>
    </row>
    <row r="243" spans="1:12">
      <c r="A243" t="s">
        <v>489</v>
      </c>
      <c r="B243" s="2">
        <v>45755</v>
      </c>
      <c r="C243" t="s">
        <v>490</v>
      </c>
      <c r="D243" t="s">
        <v>28</v>
      </c>
      <c r="E243" t="s">
        <v>37</v>
      </c>
      <c r="F243" t="s">
        <v>194</v>
      </c>
      <c r="G243">
        <v>97.5</v>
      </c>
      <c r="H243">
        <v>23.13</v>
      </c>
      <c r="I243">
        <v>6</v>
      </c>
      <c r="J243" t="str">
        <f>TEXT(SalesData[[#This Row],[Order Date]],"mmm")</f>
        <v>Apr</v>
      </c>
      <c r="K243">
        <f>YEAR(SalesData[[#This Row],[Order Date]])</f>
        <v>2025</v>
      </c>
      <c r="L243" s="3">
        <f>SalesData[[#This Row],[Profit]]/SalesData[[#This Row],[Sales]]</f>
        <v>0.23723076923076922</v>
      </c>
    </row>
    <row r="244" spans="1:12">
      <c r="A244" t="s">
        <v>491</v>
      </c>
      <c r="B244" s="2">
        <v>45802</v>
      </c>
      <c r="C244" t="s">
        <v>230</v>
      </c>
      <c r="D244" t="s">
        <v>23</v>
      </c>
      <c r="E244" t="s">
        <v>41</v>
      </c>
      <c r="F244" t="s">
        <v>58</v>
      </c>
      <c r="G244">
        <v>317.76</v>
      </c>
      <c r="H244">
        <v>101.91</v>
      </c>
      <c r="I244">
        <v>3</v>
      </c>
      <c r="J244" t="str">
        <f>TEXT(SalesData[[#This Row],[Order Date]],"mmm")</f>
        <v>May</v>
      </c>
      <c r="K244">
        <f>YEAR(SalesData[[#This Row],[Order Date]])</f>
        <v>2025</v>
      </c>
      <c r="L244" s="3">
        <f>SalesData[[#This Row],[Profit]]/SalesData[[#This Row],[Sales]]</f>
        <v>0.32071374622356497</v>
      </c>
    </row>
    <row r="245" spans="1:12">
      <c r="A245" t="s">
        <v>492</v>
      </c>
      <c r="B245" s="2">
        <v>45898</v>
      </c>
      <c r="C245" t="s">
        <v>493</v>
      </c>
      <c r="D245" t="s">
        <v>19</v>
      </c>
      <c r="E245" t="s">
        <v>24</v>
      </c>
      <c r="F245" t="s">
        <v>88</v>
      </c>
      <c r="G245">
        <v>205.63</v>
      </c>
      <c r="H245">
        <v>29.66</v>
      </c>
      <c r="I245">
        <v>1</v>
      </c>
      <c r="J245" t="str">
        <f>TEXT(SalesData[[#This Row],[Order Date]],"mmm")</f>
        <v>Aug</v>
      </c>
      <c r="K245">
        <f>YEAR(SalesData[[#This Row],[Order Date]])</f>
        <v>2025</v>
      </c>
      <c r="L245" s="3">
        <f>SalesData[[#This Row],[Profit]]/SalesData[[#This Row],[Sales]]</f>
        <v>0.14423965374702136</v>
      </c>
    </row>
    <row r="246" spans="1:12">
      <c r="A246" t="s">
        <v>494</v>
      </c>
      <c r="B246" s="2">
        <v>45791</v>
      </c>
      <c r="C246" t="s">
        <v>495</v>
      </c>
      <c r="D246" t="s">
        <v>23</v>
      </c>
      <c r="E246" t="s">
        <v>41</v>
      </c>
      <c r="F246" t="s">
        <v>58</v>
      </c>
      <c r="G246">
        <v>138.28</v>
      </c>
      <c r="H246">
        <v>21.78</v>
      </c>
      <c r="I246">
        <v>2</v>
      </c>
      <c r="J246" t="str">
        <f>TEXT(SalesData[[#This Row],[Order Date]],"mmm")</f>
        <v>May</v>
      </c>
      <c r="K246">
        <f>YEAR(SalesData[[#This Row],[Order Date]])</f>
        <v>2025</v>
      </c>
      <c r="L246" s="3">
        <f>SalesData[[#This Row],[Profit]]/SalesData[[#This Row],[Sales]]</f>
        <v>0.15750650853341047</v>
      </c>
    </row>
    <row r="247" spans="1:12">
      <c r="A247" t="s">
        <v>496</v>
      </c>
      <c r="B247" s="2">
        <v>45783</v>
      </c>
      <c r="C247" t="s">
        <v>497</v>
      </c>
      <c r="D247" t="s">
        <v>14</v>
      </c>
      <c r="E247" t="s">
        <v>24</v>
      </c>
      <c r="F247" t="s">
        <v>88</v>
      </c>
      <c r="G247">
        <v>1390.56</v>
      </c>
      <c r="H247">
        <v>275.5</v>
      </c>
      <c r="I247">
        <v>6</v>
      </c>
      <c r="J247" t="str">
        <f>TEXT(SalesData[[#This Row],[Order Date]],"mmm")</f>
        <v>May</v>
      </c>
      <c r="K247">
        <f>YEAR(SalesData[[#This Row],[Order Date]])</f>
        <v>2025</v>
      </c>
      <c r="L247" s="3">
        <f>SalesData[[#This Row],[Profit]]/SalesData[[#This Row],[Sales]]</f>
        <v>0.1981216200667357</v>
      </c>
    </row>
    <row r="248" spans="1:12">
      <c r="A248" t="s">
        <v>498</v>
      </c>
      <c r="B248" s="2">
        <v>45838</v>
      </c>
      <c r="C248" t="s">
        <v>499</v>
      </c>
      <c r="D248" t="s">
        <v>23</v>
      </c>
      <c r="E248" t="s">
        <v>33</v>
      </c>
      <c r="F248" t="s">
        <v>34</v>
      </c>
      <c r="G248">
        <v>5179.32</v>
      </c>
      <c r="H248">
        <v>875.67</v>
      </c>
      <c r="I248">
        <v>6</v>
      </c>
      <c r="J248" t="str">
        <f>TEXT(SalesData[[#This Row],[Order Date]],"mmm")</f>
        <v>Jun</v>
      </c>
      <c r="K248">
        <f>YEAR(SalesData[[#This Row],[Order Date]])</f>
        <v>2025</v>
      </c>
      <c r="L248" s="3">
        <f>SalesData[[#This Row],[Profit]]/SalesData[[#This Row],[Sales]]</f>
        <v>0.16907045712564583</v>
      </c>
    </row>
    <row r="249" spans="1:12">
      <c r="A249" t="s">
        <v>500</v>
      </c>
      <c r="B249" s="2">
        <v>45696</v>
      </c>
      <c r="C249" t="s">
        <v>501</v>
      </c>
      <c r="D249" t="s">
        <v>32</v>
      </c>
      <c r="E249" t="s">
        <v>24</v>
      </c>
      <c r="F249" t="s">
        <v>134</v>
      </c>
      <c r="G249">
        <v>253.37</v>
      </c>
      <c r="H249">
        <v>25.8</v>
      </c>
      <c r="I249">
        <v>1</v>
      </c>
      <c r="J249" t="str">
        <f>TEXT(SalesData[[#This Row],[Order Date]],"mmm")</f>
        <v>Feb</v>
      </c>
      <c r="K249">
        <f>YEAR(SalesData[[#This Row],[Order Date]])</f>
        <v>2025</v>
      </c>
      <c r="L249" s="3">
        <f>SalesData[[#This Row],[Profit]]/SalesData[[#This Row],[Sales]]</f>
        <v>0.10182736709160517</v>
      </c>
    </row>
    <row r="250" spans="1:12">
      <c r="A250" t="s">
        <v>502</v>
      </c>
      <c r="B250" s="2">
        <v>45849</v>
      </c>
      <c r="C250" t="s">
        <v>503</v>
      </c>
      <c r="D250" t="s">
        <v>23</v>
      </c>
      <c r="E250" t="s">
        <v>37</v>
      </c>
      <c r="F250" t="s">
        <v>155</v>
      </c>
      <c r="G250">
        <v>5.36</v>
      </c>
      <c r="H250">
        <v>-0.49</v>
      </c>
      <c r="I250">
        <v>1</v>
      </c>
      <c r="J250" t="str">
        <f>TEXT(SalesData[[#This Row],[Order Date]],"mmm")</f>
        <v>Jul</v>
      </c>
      <c r="K250">
        <f>YEAR(SalesData[[#This Row],[Order Date]])</f>
        <v>2025</v>
      </c>
      <c r="L250" s="3">
        <f>SalesData[[#This Row],[Profit]]/SalesData[[#This Row],[Sales]]</f>
        <v>-9.141791044776118E-2</v>
      </c>
    </row>
    <row r="251" spans="1:12">
      <c r="A251" t="s">
        <v>504</v>
      </c>
      <c r="B251" s="2">
        <v>45929</v>
      </c>
      <c r="C251" t="s">
        <v>505</v>
      </c>
      <c r="D251" t="s">
        <v>23</v>
      </c>
      <c r="E251" t="s">
        <v>37</v>
      </c>
      <c r="F251" t="s">
        <v>38</v>
      </c>
      <c r="G251">
        <v>248.6</v>
      </c>
      <c r="H251">
        <v>49.99</v>
      </c>
      <c r="I251">
        <v>5</v>
      </c>
      <c r="J251" t="str">
        <f>TEXT(SalesData[[#This Row],[Order Date]],"mmm")</f>
        <v>Sep</v>
      </c>
      <c r="K251">
        <f>YEAR(SalesData[[#This Row],[Order Date]])</f>
        <v>2025</v>
      </c>
      <c r="L251" s="3">
        <f>SalesData[[#This Row],[Profit]]/SalesData[[#This Row],[Sales]]</f>
        <v>0.20108608205953341</v>
      </c>
    </row>
    <row r="252" spans="1:12">
      <c r="A252" t="s">
        <v>506</v>
      </c>
      <c r="B252" s="2">
        <v>45749</v>
      </c>
      <c r="C252" t="s">
        <v>507</v>
      </c>
      <c r="D252" t="s">
        <v>23</v>
      </c>
      <c r="E252" t="s">
        <v>15</v>
      </c>
      <c r="F252" t="s">
        <v>16</v>
      </c>
      <c r="G252">
        <v>90.8</v>
      </c>
      <c r="H252">
        <v>15.64</v>
      </c>
      <c r="I252">
        <v>5</v>
      </c>
      <c r="J252" t="str">
        <f>TEXT(SalesData[[#This Row],[Order Date]],"mmm")</f>
        <v>Apr</v>
      </c>
      <c r="K252">
        <f>YEAR(SalesData[[#This Row],[Order Date]])</f>
        <v>2025</v>
      </c>
      <c r="L252" s="3">
        <f>SalesData[[#This Row],[Profit]]/SalesData[[#This Row],[Sales]]</f>
        <v>0.17224669603524231</v>
      </c>
    </row>
    <row r="253" spans="1:12">
      <c r="A253" t="s">
        <v>508</v>
      </c>
      <c r="B253" s="2">
        <v>45861</v>
      </c>
      <c r="C253" t="s">
        <v>509</v>
      </c>
      <c r="D253" t="s">
        <v>28</v>
      </c>
      <c r="E253" t="s">
        <v>33</v>
      </c>
      <c r="F253" t="s">
        <v>170</v>
      </c>
      <c r="G253">
        <v>1405.44</v>
      </c>
      <c r="H253">
        <v>275.87</v>
      </c>
      <c r="I253">
        <v>6</v>
      </c>
      <c r="J253" t="str">
        <f>TEXT(SalesData[[#This Row],[Order Date]],"mmm")</f>
        <v>Jul</v>
      </c>
      <c r="K253">
        <f>YEAR(SalesData[[#This Row],[Order Date]])</f>
        <v>2025</v>
      </c>
      <c r="L253" s="3">
        <f>SalesData[[#This Row],[Profit]]/SalesData[[#This Row],[Sales]]</f>
        <v>0.19628728369763204</v>
      </c>
    </row>
    <row r="254" spans="1:12">
      <c r="A254" t="s">
        <v>510</v>
      </c>
      <c r="B254" s="2">
        <v>45992</v>
      </c>
      <c r="C254" t="s">
        <v>511</v>
      </c>
      <c r="D254" t="s">
        <v>32</v>
      </c>
      <c r="E254" t="s">
        <v>24</v>
      </c>
      <c r="F254" t="s">
        <v>88</v>
      </c>
      <c r="G254">
        <v>1143.07</v>
      </c>
      <c r="H254">
        <v>274.99</v>
      </c>
      <c r="I254">
        <v>5</v>
      </c>
      <c r="J254" t="str">
        <f>TEXT(SalesData[[#This Row],[Order Date]],"mmm")</f>
        <v>Dec</v>
      </c>
      <c r="K254">
        <f>YEAR(SalesData[[#This Row],[Order Date]])</f>
        <v>2025</v>
      </c>
      <c r="L254" s="3">
        <f>SalesData[[#This Row],[Profit]]/SalesData[[#This Row],[Sales]]</f>
        <v>0.24057144356863536</v>
      </c>
    </row>
    <row r="255" spans="1:12">
      <c r="A255" t="s">
        <v>512</v>
      </c>
      <c r="B255" s="2">
        <v>45880</v>
      </c>
      <c r="C255" t="s">
        <v>133</v>
      </c>
      <c r="D255" t="s">
        <v>23</v>
      </c>
      <c r="E255" t="s">
        <v>37</v>
      </c>
      <c r="F255" t="s">
        <v>38</v>
      </c>
      <c r="G255">
        <v>277.75</v>
      </c>
      <c r="H255">
        <v>37.35</v>
      </c>
      <c r="I255">
        <v>5</v>
      </c>
      <c r="J255" t="str">
        <f>TEXT(SalesData[[#This Row],[Order Date]],"mmm")</f>
        <v>Aug</v>
      </c>
      <c r="K255">
        <f>YEAR(SalesData[[#This Row],[Order Date]])</f>
        <v>2025</v>
      </c>
      <c r="L255" s="3">
        <f>SalesData[[#This Row],[Profit]]/SalesData[[#This Row],[Sales]]</f>
        <v>0.13447344734473449</v>
      </c>
    </row>
    <row r="256" spans="1:12">
      <c r="A256" t="s">
        <v>513</v>
      </c>
      <c r="B256" s="2">
        <v>46012</v>
      </c>
      <c r="C256" t="s">
        <v>514</v>
      </c>
      <c r="D256" t="s">
        <v>28</v>
      </c>
      <c r="E256" t="s">
        <v>24</v>
      </c>
      <c r="F256" t="s">
        <v>25</v>
      </c>
      <c r="G256">
        <v>2674.71</v>
      </c>
      <c r="H256">
        <v>568.91999999999996</v>
      </c>
      <c r="I256">
        <v>6</v>
      </c>
      <c r="J256" t="str">
        <f>TEXT(SalesData[[#This Row],[Order Date]],"mmm")</f>
        <v>Dec</v>
      </c>
      <c r="K256">
        <f>YEAR(SalesData[[#This Row],[Order Date]])</f>
        <v>2025</v>
      </c>
      <c r="L256" s="3">
        <f>SalesData[[#This Row],[Profit]]/SalesData[[#This Row],[Sales]]</f>
        <v>0.21270343326940114</v>
      </c>
    </row>
    <row r="257" spans="1:12">
      <c r="A257" t="s">
        <v>515</v>
      </c>
      <c r="B257" s="2">
        <v>45819</v>
      </c>
      <c r="C257" t="s">
        <v>516</v>
      </c>
      <c r="D257" t="s">
        <v>23</v>
      </c>
      <c r="E257" t="s">
        <v>15</v>
      </c>
      <c r="F257" t="s">
        <v>109</v>
      </c>
      <c r="G257">
        <v>12.48</v>
      </c>
      <c r="H257">
        <v>1.68</v>
      </c>
      <c r="I257">
        <v>1</v>
      </c>
      <c r="J257" t="str">
        <f>TEXT(SalesData[[#This Row],[Order Date]],"mmm")</f>
        <v>Jun</v>
      </c>
      <c r="K257">
        <f>YEAR(SalesData[[#This Row],[Order Date]])</f>
        <v>2025</v>
      </c>
      <c r="L257" s="3">
        <f>SalesData[[#This Row],[Profit]]/SalesData[[#This Row],[Sales]]</f>
        <v>0.13461538461538461</v>
      </c>
    </row>
    <row r="258" spans="1:12">
      <c r="A258" t="s">
        <v>517</v>
      </c>
      <c r="B258" s="2">
        <v>45857</v>
      </c>
      <c r="C258" t="s">
        <v>57</v>
      </c>
      <c r="D258" t="s">
        <v>14</v>
      </c>
      <c r="E258" t="s">
        <v>24</v>
      </c>
      <c r="F258" t="s">
        <v>134</v>
      </c>
      <c r="G258">
        <v>1553.82</v>
      </c>
      <c r="H258">
        <v>311.01</v>
      </c>
      <c r="I258">
        <v>6</v>
      </c>
      <c r="J258" t="str">
        <f>TEXT(SalesData[[#This Row],[Order Date]],"mmm")</f>
        <v>Jul</v>
      </c>
      <c r="K258">
        <f>YEAR(SalesData[[#This Row],[Order Date]])</f>
        <v>2025</v>
      </c>
      <c r="L258" s="3">
        <f>SalesData[[#This Row],[Profit]]/SalesData[[#This Row],[Sales]]</f>
        <v>0.20015831949646679</v>
      </c>
    </row>
    <row r="259" spans="1:12">
      <c r="A259" t="s">
        <v>518</v>
      </c>
      <c r="B259" s="2">
        <v>45685</v>
      </c>
      <c r="C259" t="s">
        <v>519</v>
      </c>
      <c r="D259" t="s">
        <v>19</v>
      </c>
      <c r="E259" t="s">
        <v>41</v>
      </c>
      <c r="F259" t="s">
        <v>58</v>
      </c>
      <c r="G259">
        <v>990.15</v>
      </c>
      <c r="H259">
        <v>335.38</v>
      </c>
      <c r="I259">
        <v>5</v>
      </c>
      <c r="J259" t="str">
        <f>TEXT(SalesData[[#This Row],[Order Date]],"mmm")</f>
        <v>Jan</v>
      </c>
      <c r="K259">
        <f>YEAR(SalesData[[#This Row],[Order Date]])</f>
        <v>2025</v>
      </c>
      <c r="L259" s="3">
        <f>SalesData[[#This Row],[Profit]]/SalesData[[#This Row],[Sales]]</f>
        <v>0.33871635610766043</v>
      </c>
    </row>
    <row r="260" spans="1:12">
      <c r="A260" t="s">
        <v>520</v>
      </c>
      <c r="B260" s="2">
        <v>45825</v>
      </c>
      <c r="C260" t="s">
        <v>521</v>
      </c>
      <c r="D260" t="s">
        <v>28</v>
      </c>
      <c r="E260" t="s">
        <v>33</v>
      </c>
      <c r="F260" t="s">
        <v>308</v>
      </c>
      <c r="G260">
        <v>4246.8999999999996</v>
      </c>
      <c r="H260">
        <v>651.53</v>
      </c>
      <c r="I260">
        <v>5</v>
      </c>
      <c r="J260" t="str">
        <f>TEXT(SalesData[[#This Row],[Order Date]],"mmm")</f>
        <v>Jun</v>
      </c>
      <c r="K260">
        <f>YEAR(SalesData[[#This Row],[Order Date]])</f>
        <v>2025</v>
      </c>
      <c r="L260" s="3">
        <f>SalesData[[#This Row],[Profit]]/SalesData[[#This Row],[Sales]]</f>
        <v>0.1534130777743766</v>
      </c>
    </row>
    <row r="261" spans="1:12">
      <c r="A261" t="s">
        <v>522</v>
      </c>
      <c r="B261" s="2">
        <v>45996</v>
      </c>
      <c r="C261" t="s">
        <v>523</v>
      </c>
      <c r="D261" t="s">
        <v>23</v>
      </c>
      <c r="E261" t="s">
        <v>24</v>
      </c>
      <c r="F261" t="s">
        <v>134</v>
      </c>
      <c r="G261">
        <v>313.45999999999998</v>
      </c>
      <c r="H261">
        <v>55.17</v>
      </c>
      <c r="I261">
        <v>6</v>
      </c>
      <c r="J261" t="str">
        <f>TEXT(SalesData[[#This Row],[Order Date]],"mmm")</f>
        <v>Dec</v>
      </c>
      <c r="K261">
        <f>YEAR(SalesData[[#This Row],[Order Date]])</f>
        <v>2025</v>
      </c>
      <c r="L261" s="3">
        <f>SalesData[[#This Row],[Profit]]/SalesData[[#This Row],[Sales]]</f>
        <v>0.17600331780769479</v>
      </c>
    </row>
    <row r="262" spans="1:12">
      <c r="A262" t="s">
        <v>524</v>
      </c>
      <c r="B262" s="2">
        <v>45736</v>
      </c>
      <c r="C262" t="s">
        <v>525</v>
      </c>
      <c r="D262" t="s">
        <v>14</v>
      </c>
      <c r="E262" t="s">
        <v>24</v>
      </c>
      <c r="F262" t="s">
        <v>25</v>
      </c>
      <c r="G262">
        <v>331.18</v>
      </c>
      <c r="H262">
        <v>62.58</v>
      </c>
      <c r="I262">
        <v>1</v>
      </c>
      <c r="J262" t="str">
        <f>TEXT(SalesData[[#This Row],[Order Date]],"mmm")</f>
        <v>Mar</v>
      </c>
      <c r="K262">
        <f>YEAR(SalesData[[#This Row],[Order Date]])</f>
        <v>2025</v>
      </c>
      <c r="L262" s="3">
        <f>SalesData[[#This Row],[Profit]]/SalesData[[#This Row],[Sales]]</f>
        <v>0.18896068603176519</v>
      </c>
    </row>
    <row r="263" spans="1:12">
      <c r="A263" t="s">
        <v>526</v>
      </c>
      <c r="B263" s="2">
        <v>45710</v>
      </c>
      <c r="C263" t="s">
        <v>383</v>
      </c>
      <c r="D263" t="s">
        <v>19</v>
      </c>
      <c r="E263" t="s">
        <v>24</v>
      </c>
      <c r="F263" t="s">
        <v>55</v>
      </c>
      <c r="G263">
        <v>945.55</v>
      </c>
      <c r="H263">
        <v>114.09</v>
      </c>
      <c r="I263">
        <v>5</v>
      </c>
      <c r="J263" t="str">
        <f>TEXT(SalesData[[#This Row],[Order Date]],"mmm")</f>
        <v>Feb</v>
      </c>
      <c r="K263">
        <f>YEAR(SalesData[[#This Row],[Order Date]])</f>
        <v>2025</v>
      </c>
      <c r="L263" s="3">
        <f>SalesData[[#This Row],[Profit]]/SalesData[[#This Row],[Sales]]</f>
        <v>0.12065993337211148</v>
      </c>
    </row>
    <row r="264" spans="1:12">
      <c r="A264" t="s">
        <v>527</v>
      </c>
      <c r="B264" s="2">
        <v>45941</v>
      </c>
      <c r="C264" t="s">
        <v>528</v>
      </c>
      <c r="D264" t="s">
        <v>23</v>
      </c>
      <c r="E264" t="s">
        <v>41</v>
      </c>
      <c r="F264" t="s">
        <v>71</v>
      </c>
      <c r="G264">
        <v>90.67</v>
      </c>
      <c r="H264">
        <v>17.86</v>
      </c>
      <c r="I264">
        <v>1</v>
      </c>
      <c r="J264" t="str">
        <f>TEXT(SalesData[[#This Row],[Order Date]],"mmm")</f>
        <v>Oct</v>
      </c>
      <c r="K264">
        <f>YEAR(SalesData[[#This Row],[Order Date]])</f>
        <v>2025</v>
      </c>
      <c r="L264" s="3">
        <f>SalesData[[#This Row],[Profit]]/SalesData[[#This Row],[Sales]]</f>
        <v>0.1969780522774898</v>
      </c>
    </row>
    <row r="265" spans="1:12">
      <c r="A265" t="s">
        <v>529</v>
      </c>
      <c r="B265" s="2">
        <v>45944</v>
      </c>
      <c r="C265" t="s">
        <v>530</v>
      </c>
      <c r="D265" t="s">
        <v>23</v>
      </c>
      <c r="E265" t="s">
        <v>33</v>
      </c>
      <c r="F265" t="s">
        <v>63</v>
      </c>
      <c r="G265">
        <v>318.8</v>
      </c>
      <c r="H265">
        <v>41.82</v>
      </c>
      <c r="I265">
        <v>2</v>
      </c>
      <c r="J265" t="str">
        <f>TEXT(SalesData[[#This Row],[Order Date]],"mmm")</f>
        <v>Oct</v>
      </c>
      <c r="K265">
        <f>YEAR(SalesData[[#This Row],[Order Date]])</f>
        <v>2025</v>
      </c>
      <c r="L265" s="3">
        <f>SalesData[[#This Row],[Profit]]/SalesData[[#This Row],[Sales]]</f>
        <v>0.13117942283563364</v>
      </c>
    </row>
    <row r="266" spans="1:12">
      <c r="A266" t="s">
        <v>531</v>
      </c>
      <c r="B266" s="2">
        <v>45690</v>
      </c>
      <c r="C266" t="s">
        <v>532</v>
      </c>
      <c r="D266" t="s">
        <v>14</v>
      </c>
      <c r="E266" t="s">
        <v>24</v>
      </c>
      <c r="F266" t="s">
        <v>88</v>
      </c>
      <c r="G266">
        <v>139.16999999999999</v>
      </c>
      <c r="H266">
        <v>40.200000000000003</v>
      </c>
      <c r="I266">
        <v>1</v>
      </c>
      <c r="J266" t="str">
        <f>TEXT(SalesData[[#This Row],[Order Date]],"mmm")</f>
        <v>Feb</v>
      </c>
      <c r="K266">
        <f>YEAR(SalesData[[#This Row],[Order Date]])</f>
        <v>2025</v>
      </c>
      <c r="L266" s="3">
        <f>SalesData[[#This Row],[Profit]]/SalesData[[#This Row],[Sales]]</f>
        <v>0.28885535675792201</v>
      </c>
    </row>
    <row r="267" spans="1:12">
      <c r="A267" t="s">
        <v>533</v>
      </c>
      <c r="B267" s="2">
        <v>45911</v>
      </c>
      <c r="C267" t="s">
        <v>534</v>
      </c>
      <c r="D267" t="s">
        <v>19</v>
      </c>
      <c r="E267" t="s">
        <v>33</v>
      </c>
      <c r="F267" t="s">
        <v>170</v>
      </c>
      <c r="G267">
        <v>137.46</v>
      </c>
      <c r="H267">
        <v>20.239999999999998</v>
      </c>
      <c r="I267">
        <v>3</v>
      </c>
      <c r="J267" t="str">
        <f>TEXT(SalesData[[#This Row],[Order Date]],"mmm")</f>
        <v>Sep</v>
      </c>
      <c r="K267">
        <f>YEAR(SalesData[[#This Row],[Order Date]])</f>
        <v>2025</v>
      </c>
      <c r="L267" s="3">
        <f>SalesData[[#This Row],[Profit]]/SalesData[[#This Row],[Sales]]</f>
        <v>0.14724283427906298</v>
      </c>
    </row>
    <row r="268" spans="1:12">
      <c r="A268" t="s">
        <v>535</v>
      </c>
      <c r="B268" s="2">
        <v>45852</v>
      </c>
      <c r="C268" t="s">
        <v>274</v>
      </c>
      <c r="D268" t="s">
        <v>28</v>
      </c>
      <c r="E268" t="s">
        <v>24</v>
      </c>
      <c r="F268" t="s">
        <v>55</v>
      </c>
      <c r="G268">
        <v>238.28</v>
      </c>
      <c r="H268">
        <v>52.57</v>
      </c>
      <c r="I268">
        <v>2</v>
      </c>
      <c r="J268" t="str">
        <f>TEXT(SalesData[[#This Row],[Order Date]],"mmm")</f>
        <v>Jul</v>
      </c>
      <c r="K268">
        <f>YEAR(SalesData[[#This Row],[Order Date]])</f>
        <v>2025</v>
      </c>
      <c r="L268" s="3">
        <f>SalesData[[#This Row],[Profit]]/SalesData[[#This Row],[Sales]]</f>
        <v>0.22062279670975324</v>
      </c>
    </row>
    <row r="269" spans="1:12">
      <c r="A269" t="s">
        <v>536</v>
      </c>
      <c r="B269" s="2">
        <v>45903</v>
      </c>
      <c r="C269" t="s">
        <v>316</v>
      </c>
      <c r="D269" t="s">
        <v>28</v>
      </c>
      <c r="E269" t="s">
        <v>37</v>
      </c>
      <c r="F269" t="s">
        <v>47</v>
      </c>
      <c r="G269">
        <v>259.32</v>
      </c>
      <c r="H269">
        <v>45.03</v>
      </c>
      <c r="I269">
        <v>6</v>
      </c>
      <c r="J269" t="str">
        <f>TEXT(SalesData[[#This Row],[Order Date]],"mmm")</f>
        <v>Sep</v>
      </c>
      <c r="K269">
        <f>YEAR(SalesData[[#This Row],[Order Date]])</f>
        <v>2025</v>
      </c>
      <c r="L269" s="3">
        <f>SalesData[[#This Row],[Profit]]/SalesData[[#This Row],[Sales]]</f>
        <v>0.17364645997223507</v>
      </c>
    </row>
    <row r="270" spans="1:12">
      <c r="A270" t="s">
        <v>537</v>
      </c>
      <c r="B270" s="2">
        <v>45782</v>
      </c>
      <c r="C270" t="s">
        <v>538</v>
      </c>
      <c r="D270" t="s">
        <v>14</v>
      </c>
      <c r="E270" t="s">
        <v>41</v>
      </c>
      <c r="F270" t="s">
        <v>71</v>
      </c>
      <c r="G270">
        <v>151.86000000000001</v>
      </c>
      <c r="H270">
        <v>36.590000000000003</v>
      </c>
      <c r="I270">
        <v>3</v>
      </c>
      <c r="J270" t="str">
        <f>TEXT(SalesData[[#This Row],[Order Date]],"mmm")</f>
        <v>May</v>
      </c>
      <c r="K270">
        <f>YEAR(SalesData[[#This Row],[Order Date]])</f>
        <v>2025</v>
      </c>
      <c r="L270" s="3">
        <f>SalesData[[#This Row],[Profit]]/SalesData[[#This Row],[Sales]]</f>
        <v>0.2409456077966548</v>
      </c>
    </row>
    <row r="271" spans="1:12">
      <c r="A271" t="s">
        <v>539</v>
      </c>
      <c r="B271" s="2">
        <v>45937</v>
      </c>
      <c r="C271" t="s">
        <v>484</v>
      </c>
      <c r="D271" t="s">
        <v>32</v>
      </c>
      <c r="E271" t="s">
        <v>37</v>
      </c>
      <c r="F271" t="s">
        <v>155</v>
      </c>
      <c r="G271">
        <v>99.18</v>
      </c>
      <c r="H271">
        <v>21.79</v>
      </c>
      <c r="I271">
        <v>6</v>
      </c>
      <c r="J271" t="str">
        <f>TEXT(SalesData[[#This Row],[Order Date]],"mmm")</f>
        <v>Oct</v>
      </c>
      <c r="K271">
        <f>YEAR(SalesData[[#This Row],[Order Date]])</f>
        <v>2025</v>
      </c>
      <c r="L271" s="3">
        <f>SalesData[[#This Row],[Profit]]/SalesData[[#This Row],[Sales]]</f>
        <v>0.21970155273240571</v>
      </c>
    </row>
    <row r="272" spans="1:12">
      <c r="A272" t="s">
        <v>540</v>
      </c>
      <c r="B272" s="2">
        <v>45693</v>
      </c>
      <c r="C272" t="s">
        <v>541</v>
      </c>
      <c r="D272" t="s">
        <v>28</v>
      </c>
      <c r="E272" t="s">
        <v>15</v>
      </c>
      <c r="F272" t="s">
        <v>29</v>
      </c>
      <c r="G272">
        <v>22.64</v>
      </c>
      <c r="H272">
        <v>1.66</v>
      </c>
      <c r="I272">
        <v>2</v>
      </c>
      <c r="J272" t="str">
        <f>TEXT(SalesData[[#This Row],[Order Date]],"mmm")</f>
        <v>Feb</v>
      </c>
      <c r="K272">
        <f>YEAR(SalesData[[#This Row],[Order Date]])</f>
        <v>2025</v>
      </c>
      <c r="L272" s="3">
        <f>SalesData[[#This Row],[Profit]]/SalesData[[#This Row],[Sales]]</f>
        <v>7.3321554770318015E-2</v>
      </c>
    </row>
    <row r="273" spans="1:12">
      <c r="A273" t="s">
        <v>542</v>
      </c>
      <c r="B273" s="2">
        <v>45851</v>
      </c>
      <c r="C273" t="s">
        <v>543</v>
      </c>
      <c r="D273" t="s">
        <v>23</v>
      </c>
      <c r="E273" t="s">
        <v>33</v>
      </c>
      <c r="F273" t="s">
        <v>63</v>
      </c>
      <c r="G273">
        <v>2378.4499999999998</v>
      </c>
      <c r="H273">
        <v>562.41999999999996</v>
      </c>
      <c r="I273">
        <v>5</v>
      </c>
      <c r="J273" t="str">
        <f>TEXT(SalesData[[#This Row],[Order Date]],"mmm")</f>
        <v>Jul</v>
      </c>
      <c r="K273">
        <f>YEAR(SalesData[[#This Row],[Order Date]])</f>
        <v>2025</v>
      </c>
      <c r="L273" s="3">
        <f>SalesData[[#This Row],[Profit]]/SalesData[[#This Row],[Sales]]</f>
        <v>0.23646492463579222</v>
      </c>
    </row>
    <row r="274" spans="1:12">
      <c r="A274" t="s">
        <v>544</v>
      </c>
      <c r="B274" s="2">
        <v>45936</v>
      </c>
      <c r="C274" t="s">
        <v>270</v>
      </c>
      <c r="D274" t="s">
        <v>23</v>
      </c>
      <c r="E274" t="s">
        <v>33</v>
      </c>
      <c r="F274" t="s">
        <v>52</v>
      </c>
      <c r="G274">
        <v>701.3</v>
      </c>
      <c r="H274">
        <v>134.5</v>
      </c>
      <c r="I274">
        <v>1</v>
      </c>
      <c r="J274" t="str">
        <f>TEXT(SalesData[[#This Row],[Order Date]],"mmm")</f>
        <v>Oct</v>
      </c>
      <c r="K274">
        <f>YEAR(SalesData[[#This Row],[Order Date]])</f>
        <v>2025</v>
      </c>
      <c r="L274" s="3">
        <f>SalesData[[#This Row],[Profit]]/SalesData[[#This Row],[Sales]]</f>
        <v>0.19178668187651507</v>
      </c>
    </row>
    <row r="275" spans="1:12">
      <c r="A275" t="s">
        <v>545</v>
      </c>
      <c r="B275" s="2">
        <v>45989</v>
      </c>
      <c r="C275" t="s">
        <v>546</v>
      </c>
      <c r="D275" t="s">
        <v>23</v>
      </c>
      <c r="E275" t="s">
        <v>37</v>
      </c>
      <c r="F275" t="s">
        <v>155</v>
      </c>
      <c r="G275">
        <v>214.28</v>
      </c>
      <c r="H275">
        <v>21.77</v>
      </c>
      <c r="I275">
        <v>3</v>
      </c>
      <c r="J275" t="str">
        <f>TEXT(SalesData[[#This Row],[Order Date]],"mmm")</f>
        <v>Nov</v>
      </c>
      <c r="K275">
        <f>YEAR(SalesData[[#This Row],[Order Date]])</f>
        <v>2025</v>
      </c>
      <c r="L275" s="3">
        <f>SalesData[[#This Row],[Profit]]/SalesData[[#This Row],[Sales]]</f>
        <v>0.10159604256113496</v>
      </c>
    </row>
    <row r="276" spans="1:12">
      <c r="A276" t="s">
        <v>547</v>
      </c>
      <c r="B276" s="2">
        <v>45919</v>
      </c>
      <c r="C276" t="s">
        <v>176</v>
      </c>
      <c r="D276" t="s">
        <v>23</v>
      </c>
      <c r="E276" t="s">
        <v>33</v>
      </c>
      <c r="F276" t="s">
        <v>34</v>
      </c>
      <c r="G276">
        <v>846.74</v>
      </c>
      <c r="H276">
        <v>124.04</v>
      </c>
      <c r="I276">
        <v>2</v>
      </c>
      <c r="J276" t="str">
        <f>TEXT(SalesData[[#This Row],[Order Date]],"mmm")</f>
        <v>Sep</v>
      </c>
      <c r="K276">
        <f>YEAR(SalesData[[#This Row],[Order Date]])</f>
        <v>2025</v>
      </c>
      <c r="L276" s="3">
        <f>SalesData[[#This Row],[Profit]]/SalesData[[#This Row],[Sales]]</f>
        <v>0.14649124878947492</v>
      </c>
    </row>
    <row r="277" spans="1:12">
      <c r="A277" t="s">
        <v>548</v>
      </c>
      <c r="B277" s="2">
        <v>45959</v>
      </c>
      <c r="C277" t="s">
        <v>549</v>
      </c>
      <c r="D277" t="s">
        <v>19</v>
      </c>
      <c r="E277" t="s">
        <v>24</v>
      </c>
      <c r="F277" t="s">
        <v>25</v>
      </c>
      <c r="G277">
        <v>218</v>
      </c>
      <c r="H277">
        <v>39.94</v>
      </c>
      <c r="I277">
        <v>4</v>
      </c>
      <c r="J277" t="str">
        <f>TEXT(SalesData[[#This Row],[Order Date]],"mmm")</f>
        <v>Oct</v>
      </c>
      <c r="K277">
        <f>YEAR(SalesData[[#This Row],[Order Date]])</f>
        <v>2025</v>
      </c>
      <c r="L277" s="3">
        <f>SalesData[[#This Row],[Profit]]/SalesData[[#This Row],[Sales]]</f>
        <v>0.18321100917431191</v>
      </c>
    </row>
    <row r="278" spans="1:12">
      <c r="A278" t="s">
        <v>550</v>
      </c>
      <c r="B278" s="2">
        <v>45717</v>
      </c>
      <c r="C278" t="s">
        <v>551</v>
      </c>
      <c r="D278" t="s">
        <v>14</v>
      </c>
      <c r="E278" t="s">
        <v>24</v>
      </c>
      <c r="F278" t="s">
        <v>88</v>
      </c>
      <c r="G278">
        <v>383.94</v>
      </c>
      <c r="H278">
        <v>65.14</v>
      </c>
      <c r="I278">
        <v>2</v>
      </c>
      <c r="J278" t="str">
        <f>TEXT(SalesData[[#This Row],[Order Date]],"mmm")</f>
        <v>Mar</v>
      </c>
      <c r="K278">
        <f>YEAR(SalesData[[#This Row],[Order Date]])</f>
        <v>2025</v>
      </c>
      <c r="L278" s="3">
        <f>SalesData[[#This Row],[Profit]]/SalesData[[#This Row],[Sales]]</f>
        <v>0.1696619263426577</v>
      </c>
    </row>
    <row r="279" spans="1:12">
      <c r="A279" t="s">
        <v>552</v>
      </c>
      <c r="B279" s="2">
        <v>46014</v>
      </c>
      <c r="C279" t="s">
        <v>553</v>
      </c>
      <c r="D279" t="s">
        <v>32</v>
      </c>
      <c r="E279" t="s">
        <v>24</v>
      </c>
      <c r="F279" t="s">
        <v>25</v>
      </c>
      <c r="G279">
        <v>388.62</v>
      </c>
      <c r="H279">
        <v>91.49</v>
      </c>
      <c r="I279">
        <v>1</v>
      </c>
      <c r="J279" t="str">
        <f>TEXT(SalesData[[#This Row],[Order Date]],"mmm")</f>
        <v>Dec</v>
      </c>
      <c r="K279">
        <f>YEAR(SalesData[[#This Row],[Order Date]])</f>
        <v>2025</v>
      </c>
      <c r="L279" s="3">
        <f>SalesData[[#This Row],[Profit]]/SalesData[[#This Row],[Sales]]</f>
        <v>0.23542277803509853</v>
      </c>
    </row>
    <row r="280" spans="1:12">
      <c r="A280" t="s">
        <v>554</v>
      </c>
      <c r="B280" s="2">
        <v>45782</v>
      </c>
      <c r="C280" t="s">
        <v>60</v>
      </c>
      <c r="D280" t="s">
        <v>23</v>
      </c>
      <c r="E280" t="s">
        <v>15</v>
      </c>
      <c r="F280" t="s">
        <v>20</v>
      </c>
      <c r="G280">
        <v>115.84</v>
      </c>
      <c r="H280">
        <v>9.82</v>
      </c>
      <c r="I280">
        <v>4</v>
      </c>
      <c r="J280" t="str">
        <f>TEXT(SalesData[[#This Row],[Order Date]],"mmm")</f>
        <v>May</v>
      </c>
      <c r="K280">
        <f>YEAR(SalesData[[#This Row],[Order Date]])</f>
        <v>2025</v>
      </c>
      <c r="L280" s="3">
        <f>SalesData[[#This Row],[Profit]]/SalesData[[#This Row],[Sales]]</f>
        <v>8.4772099447513807E-2</v>
      </c>
    </row>
    <row r="281" spans="1:12">
      <c r="A281" t="s">
        <v>555</v>
      </c>
      <c r="B281" s="2">
        <v>45752</v>
      </c>
      <c r="C281" t="s">
        <v>532</v>
      </c>
      <c r="D281" t="s">
        <v>28</v>
      </c>
      <c r="E281" t="s">
        <v>15</v>
      </c>
      <c r="F281" t="s">
        <v>20</v>
      </c>
      <c r="G281">
        <v>32.479999999999997</v>
      </c>
      <c r="H281">
        <v>-1.86</v>
      </c>
      <c r="I281">
        <v>2</v>
      </c>
      <c r="J281" t="str">
        <f>TEXT(SalesData[[#This Row],[Order Date]],"mmm")</f>
        <v>Apr</v>
      </c>
      <c r="K281">
        <f>YEAR(SalesData[[#This Row],[Order Date]])</f>
        <v>2025</v>
      </c>
      <c r="L281" s="3">
        <f>SalesData[[#This Row],[Profit]]/SalesData[[#This Row],[Sales]]</f>
        <v>-5.7266009852216755E-2</v>
      </c>
    </row>
    <row r="282" spans="1:12">
      <c r="A282" t="s">
        <v>556</v>
      </c>
      <c r="B282" s="2">
        <v>45767</v>
      </c>
      <c r="C282" t="s">
        <v>557</v>
      </c>
      <c r="D282" t="s">
        <v>32</v>
      </c>
      <c r="E282" t="s">
        <v>33</v>
      </c>
      <c r="F282" t="s">
        <v>34</v>
      </c>
      <c r="G282">
        <v>709.16</v>
      </c>
      <c r="H282">
        <v>80.489999999999995</v>
      </c>
      <c r="I282">
        <v>2</v>
      </c>
      <c r="J282" t="str">
        <f>TEXT(SalesData[[#This Row],[Order Date]],"mmm")</f>
        <v>Apr</v>
      </c>
      <c r="K282">
        <f>YEAR(SalesData[[#This Row],[Order Date]])</f>
        <v>2025</v>
      </c>
      <c r="L282" s="3">
        <f>SalesData[[#This Row],[Profit]]/SalesData[[#This Row],[Sales]]</f>
        <v>0.11350047944046478</v>
      </c>
    </row>
    <row r="283" spans="1:12">
      <c r="A283" t="s">
        <v>558</v>
      </c>
      <c r="B283" s="2">
        <v>46001</v>
      </c>
      <c r="C283" t="s">
        <v>249</v>
      </c>
      <c r="D283" t="s">
        <v>23</v>
      </c>
      <c r="E283" t="s">
        <v>37</v>
      </c>
      <c r="F283" t="s">
        <v>47</v>
      </c>
      <c r="G283">
        <v>160.62</v>
      </c>
      <c r="H283">
        <v>18.809999999999999</v>
      </c>
      <c r="I283">
        <v>5</v>
      </c>
      <c r="J283" t="str">
        <f>TEXT(SalesData[[#This Row],[Order Date]],"mmm")</f>
        <v>Dec</v>
      </c>
      <c r="K283">
        <f>YEAR(SalesData[[#This Row],[Order Date]])</f>
        <v>2025</v>
      </c>
      <c r="L283" s="3">
        <f>SalesData[[#This Row],[Profit]]/SalesData[[#This Row],[Sales]]</f>
        <v>0.11710870377288007</v>
      </c>
    </row>
    <row r="284" spans="1:12">
      <c r="A284" t="s">
        <v>559</v>
      </c>
      <c r="B284" s="2">
        <v>45892</v>
      </c>
      <c r="C284" t="s">
        <v>560</v>
      </c>
      <c r="D284" t="s">
        <v>14</v>
      </c>
      <c r="E284" t="s">
        <v>37</v>
      </c>
      <c r="F284" t="s">
        <v>194</v>
      </c>
      <c r="G284">
        <v>41.97</v>
      </c>
      <c r="H284">
        <v>6.17</v>
      </c>
      <c r="I284">
        <v>1</v>
      </c>
      <c r="J284" t="str">
        <f>TEXT(SalesData[[#This Row],[Order Date]],"mmm")</f>
        <v>Aug</v>
      </c>
      <c r="K284">
        <f>YEAR(SalesData[[#This Row],[Order Date]])</f>
        <v>2025</v>
      </c>
      <c r="L284" s="3">
        <f>SalesData[[#This Row],[Profit]]/SalesData[[#This Row],[Sales]]</f>
        <v>0.14700976888253514</v>
      </c>
    </row>
    <row r="285" spans="1:12">
      <c r="A285" t="s">
        <v>561</v>
      </c>
      <c r="B285" s="2">
        <v>45717</v>
      </c>
      <c r="C285" t="s">
        <v>391</v>
      </c>
      <c r="D285" t="s">
        <v>19</v>
      </c>
      <c r="E285" t="s">
        <v>33</v>
      </c>
      <c r="F285" t="s">
        <v>63</v>
      </c>
      <c r="G285">
        <v>792.85</v>
      </c>
      <c r="H285">
        <v>115.15</v>
      </c>
      <c r="I285">
        <v>5</v>
      </c>
      <c r="J285" t="str">
        <f>TEXT(SalesData[[#This Row],[Order Date]],"mmm")</f>
        <v>Mar</v>
      </c>
      <c r="K285">
        <f>YEAR(SalesData[[#This Row],[Order Date]])</f>
        <v>2025</v>
      </c>
      <c r="L285" s="3">
        <f>SalesData[[#This Row],[Profit]]/SalesData[[#This Row],[Sales]]</f>
        <v>0.14523554266254651</v>
      </c>
    </row>
    <row r="286" spans="1:12">
      <c r="A286" t="s">
        <v>562</v>
      </c>
      <c r="B286" s="2">
        <v>45983</v>
      </c>
      <c r="C286" t="s">
        <v>563</v>
      </c>
      <c r="D286" t="s">
        <v>23</v>
      </c>
      <c r="E286" t="s">
        <v>15</v>
      </c>
      <c r="F286" t="s">
        <v>29</v>
      </c>
      <c r="G286">
        <v>26.19</v>
      </c>
      <c r="H286">
        <v>3.74</v>
      </c>
      <c r="I286">
        <v>2</v>
      </c>
      <c r="J286" t="str">
        <f>TEXT(SalesData[[#This Row],[Order Date]],"mmm")</f>
        <v>Nov</v>
      </c>
      <c r="K286">
        <f>YEAR(SalesData[[#This Row],[Order Date]])</f>
        <v>2025</v>
      </c>
      <c r="L286" s="3">
        <f>SalesData[[#This Row],[Profit]]/SalesData[[#This Row],[Sales]]</f>
        <v>0.14280259641084384</v>
      </c>
    </row>
    <row r="287" spans="1:12">
      <c r="A287" t="s">
        <v>564</v>
      </c>
      <c r="B287" s="2">
        <v>45662</v>
      </c>
      <c r="C287" t="s">
        <v>565</v>
      </c>
      <c r="D287" t="s">
        <v>19</v>
      </c>
      <c r="E287" t="s">
        <v>41</v>
      </c>
      <c r="F287" t="s">
        <v>68</v>
      </c>
      <c r="G287">
        <v>859.7</v>
      </c>
      <c r="H287">
        <v>173.9</v>
      </c>
      <c r="I287">
        <v>5</v>
      </c>
      <c r="J287" t="str">
        <f>TEXT(SalesData[[#This Row],[Order Date]],"mmm")</f>
        <v>Jan</v>
      </c>
      <c r="K287">
        <f>YEAR(SalesData[[#This Row],[Order Date]])</f>
        <v>2025</v>
      </c>
      <c r="L287" s="3">
        <f>SalesData[[#This Row],[Profit]]/SalesData[[#This Row],[Sales]]</f>
        <v>0.2022798650692102</v>
      </c>
    </row>
    <row r="288" spans="1:12">
      <c r="A288" t="s">
        <v>566</v>
      </c>
      <c r="B288" s="2">
        <v>46021</v>
      </c>
      <c r="C288" t="s">
        <v>567</v>
      </c>
      <c r="D288" t="s">
        <v>28</v>
      </c>
      <c r="E288" t="s">
        <v>15</v>
      </c>
      <c r="F288" t="s">
        <v>20</v>
      </c>
      <c r="G288">
        <v>29.04</v>
      </c>
      <c r="H288">
        <v>1.59</v>
      </c>
      <c r="I288">
        <v>1</v>
      </c>
      <c r="J288" t="str">
        <f>TEXT(SalesData[[#This Row],[Order Date]],"mmm")</f>
        <v>Dec</v>
      </c>
      <c r="K288">
        <f>YEAR(SalesData[[#This Row],[Order Date]])</f>
        <v>2025</v>
      </c>
      <c r="L288" s="3">
        <f>SalesData[[#This Row],[Profit]]/SalesData[[#This Row],[Sales]]</f>
        <v>5.4752066115702484E-2</v>
      </c>
    </row>
    <row r="289" spans="1:12">
      <c r="A289" t="s">
        <v>568</v>
      </c>
      <c r="B289" s="2">
        <v>45805</v>
      </c>
      <c r="C289" t="s">
        <v>569</v>
      </c>
      <c r="D289" t="s">
        <v>23</v>
      </c>
      <c r="E289" t="s">
        <v>41</v>
      </c>
      <c r="F289" t="s">
        <v>71</v>
      </c>
      <c r="G289">
        <v>699.65</v>
      </c>
      <c r="H289">
        <v>170.14</v>
      </c>
      <c r="I289">
        <v>5</v>
      </c>
      <c r="J289" t="str">
        <f>TEXT(SalesData[[#This Row],[Order Date]],"mmm")</f>
        <v>May</v>
      </c>
      <c r="K289">
        <f>YEAR(SalesData[[#This Row],[Order Date]])</f>
        <v>2025</v>
      </c>
      <c r="L289" s="3">
        <f>SalesData[[#This Row],[Profit]]/SalesData[[#This Row],[Sales]]</f>
        <v>0.24317873222325448</v>
      </c>
    </row>
    <row r="290" spans="1:12">
      <c r="A290" t="s">
        <v>570</v>
      </c>
      <c r="B290" s="2">
        <v>45936</v>
      </c>
      <c r="C290" t="s">
        <v>571</v>
      </c>
      <c r="D290" t="s">
        <v>23</v>
      </c>
      <c r="E290" t="s">
        <v>41</v>
      </c>
      <c r="F290" t="s">
        <v>42</v>
      </c>
      <c r="G290">
        <v>745.86</v>
      </c>
      <c r="H290">
        <v>115.34</v>
      </c>
      <c r="I290">
        <v>6</v>
      </c>
      <c r="J290" t="str">
        <f>TEXT(SalesData[[#This Row],[Order Date]],"mmm")</f>
        <v>Oct</v>
      </c>
      <c r="K290">
        <f>YEAR(SalesData[[#This Row],[Order Date]])</f>
        <v>2025</v>
      </c>
      <c r="L290" s="3">
        <f>SalesData[[#This Row],[Profit]]/SalesData[[#This Row],[Sales]]</f>
        <v>0.15464028101788541</v>
      </c>
    </row>
    <row r="291" spans="1:12">
      <c r="A291" t="s">
        <v>572</v>
      </c>
      <c r="B291" s="2">
        <v>45992</v>
      </c>
      <c r="C291" t="s">
        <v>573</v>
      </c>
      <c r="D291" t="s">
        <v>14</v>
      </c>
      <c r="E291" t="s">
        <v>37</v>
      </c>
      <c r="F291" t="s">
        <v>38</v>
      </c>
      <c r="G291">
        <v>105.7</v>
      </c>
      <c r="H291">
        <v>11.95</v>
      </c>
      <c r="I291">
        <v>4</v>
      </c>
      <c r="J291" t="str">
        <f>TEXT(SalesData[[#This Row],[Order Date]],"mmm")</f>
        <v>Dec</v>
      </c>
      <c r="K291">
        <f>YEAR(SalesData[[#This Row],[Order Date]])</f>
        <v>2025</v>
      </c>
      <c r="L291" s="3">
        <f>SalesData[[#This Row],[Profit]]/SalesData[[#This Row],[Sales]]</f>
        <v>0.11305581835383159</v>
      </c>
    </row>
    <row r="292" spans="1:12">
      <c r="A292" t="s">
        <v>574</v>
      </c>
      <c r="B292" s="2">
        <v>45718</v>
      </c>
      <c r="C292" t="s">
        <v>573</v>
      </c>
      <c r="D292" t="s">
        <v>19</v>
      </c>
      <c r="E292" t="s">
        <v>41</v>
      </c>
      <c r="F292" t="s">
        <v>68</v>
      </c>
      <c r="G292">
        <v>623.34</v>
      </c>
      <c r="H292">
        <v>173.09</v>
      </c>
      <c r="I292">
        <v>6</v>
      </c>
      <c r="J292" t="str">
        <f>TEXT(SalesData[[#This Row],[Order Date]],"mmm")</f>
        <v>Mar</v>
      </c>
      <c r="K292">
        <f>YEAR(SalesData[[#This Row],[Order Date]])</f>
        <v>2025</v>
      </c>
      <c r="L292" s="3">
        <f>SalesData[[#This Row],[Profit]]/SalesData[[#This Row],[Sales]]</f>
        <v>0.27768152212275804</v>
      </c>
    </row>
    <row r="293" spans="1:12">
      <c r="A293" t="s">
        <v>575</v>
      </c>
      <c r="B293" s="2">
        <v>45742</v>
      </c>
      <c r="C293" t="s">
        <v>576</v>
      </c>
      <c r="D293" t="s">
        <v>19</v>
      </c>
      <c r="E293" t="s">
        <v>41</v>
      </c>
      <c r="F293" t="s">
        <v>42</v>
      </c>
      <c r="G293">
        <v>519.65</v>
      </c>
      <c r="H293">
        <v>88.48</v>
      </c>
      <c r="I293">
        <v>5</v>
      </c>
      <c r="J293" t="str">
        <f>TEXT(SalesData[[#This Row],[Order Date]],"mmm")</f>
        <v>Mar</v>
      </c>
      <c r="K293">
        <f>YEAR(SalesData[[#This Row],[Order Date]])</f>
        <v>2025</v>
      </c>
      <c r="L293" s="3">
        <f>SalesData[[#This Row],[Profit]]/SalesData[[#This Row],[Sales]]</f>
        <v>0.17026844991821419</v>
      </c>
    </row>
    <row r="294" spans="1:12">
      <c r="A294" t="s">
        <v>577</v>
      </c>
      <c r="B294" s="2">
        <v>45823</v>
      </c>
      <c r="C294" t="s">
        <v>208</v>
      </c>
      <c r="D294" t="s">
        <v>14</v>
      </c>
      <c r="E294" t="s">
        <v>33</v>
      </c>
      <c r="F294" t="s">
        <v>34</v>
      </c>
      <c r="G294">
        <v>4446.3599999999997</v>
      </c>
      <c r="H294">
        <v>458.2</v>
      </c>
      <c r="I294">
        <v>6</v>
      </c>
      <c r="J294" t="str">
        <f>TEXT(SalesData[[#This Row],[Order Date]],"mmm")</f>
        <v>Jun</v>
      </c>
      <c r="K294">
        <f>YEAR(SalesData[[#This Row],[Order Date]])</f>
        <v>2025</v>
      </c>
      <c r="L294" s="3">
        <f>SalesData[[#This Row],[Profit]]/SalesData[[#This Row],[Sales]]</f>
        <v>0.10305058519777976</v>
      </c>
    </row>
    <row r="295" spans="1:12">
      <c r="A295" t="s">
        <v>578</v>
      </c>
      <c r="B295" s="2">
        <v>45868</v>
      </c>
      <c r="C295" t="s">
        <v>579</v>
      </c>
      <c r="D295" t="s">
        <v>14</v>
      </c>
      <c r="E295" t="s">
        <v>37</v>
      </c>
      <c r="F295" t="s">
        <v>85</v>
      </c>
      <c r="G295">
        <v>315.77999999999997</v>
      </c>
      <c r="H295">
        <v>43.4</v>
      </c>
      <c r="I295">
        <v>6</v>
      </c>
      <c r="J295" t="str">
        <f>TEXT(SalesData[[#This Row],[Order Date]],"mmm")</f>
        <v>Jul</v>
      </c>
      <c r="K295">
        <f>YEAR(SalesData[[#This Row],[Order Date]])</f>
        <v>2025</v>
      </c>
      <c r="L295" s="3">
        <f>SalesData[[#This Row],[Profit]]/SalesData[[#This Row],[Sales]]</f>
        <v>0.13743745645702704</v>
      </c>
    </row>
    <row r="296" spans="1:12">
      <c r="A296" t="s">
        <v>580</v>
      </c>
      <c r="B296" s="2">
        <v>45784</v>
      </c>
      <c r="C296" t="s">
        <v>162</v>
      </c>
      <c r="D296" t="s">
        <v>28</v>
      </c>
      <c r="E296" t="s">
        <v>15</v>
      </c>
      <c r="F296" t="s">
        <v>29</v>
      </c>
      <c r="G296">
        <v>92.16</v>
      </c>
      <c r="H296">
        <v>10.86</v>
      </c>
      <c r="I296">
        <v>6</v>
      </c>
      <c r="J296" t="str">
        <f>TEXT(SalesData[[#This Row],[Order Date]],"mmm")</f>
        <v>May</v>
      </c>
      <c r="K296">
        <f>YEAR(SalesData[[#This Row],[Order Date]])</f>
        <v>2025</v>
      </c>
      <c r="L296" s="3">
        <f>SalesData[[#This Row],[Profit]]/SalesData[[#This Row],[Sales]]</f>
        <v>0.11783854166666667</v>
      </c>
    </row>
    <row r="297" spans="1:12">
      <c r="A297" t="s">
        <v>581</v>
      </c>
      <c r="B297" s="2">
        <v>45705</v>
      </c>
      <c r="C297" t="s">
        <v>456</v>
      </c>
      <c r="D297" t="s">
        <v>14</v>
      </c>
      <c r="E297" t="s">
        <v>41</v>
      </c>
      <c r="F297" t="s">
        <v>58</v>
      </c>
      <c r="G297">
        <v>955.24</v>
      </c>
      <c r="H297">
        <v>-86.84</v>
      </c>
      <c r="I297">
        <v>4</v>
      </c>
      <c r="J297" t="str">
        <f>TEXT(SalesData[[#This Row],[Order Date]],"mmm")</f>
        <v>Feb</v>
      </c>
      <c r="K297">
        <f>YEAR(SalesData[[#This Row],[Order Date]])</f>
        <v>2025</v>
      </c>
      <c r="L297" s="3">
        <f>SalesData[[#This Row],[Profit]]/SalesData[[#This Row],[Sales]]</f>
        <v>-9.0909090909090912E-2</v>
      </c>
    </row>
    <row r="298" spans="1:12">
      <c r="A298" t="s">
        <v>582</v>
      </c>
      <c r="B298" s="2">
        <v>45705</v>
      </c>
      <c r="C298" t="s">
        <v>345</v>
      </c>
      <c r="D298" t="s">
        <v>14</v>
      </c>
      <c r="E298" t="s">
        <v>37</v>
      </c>
      <c r="F298" t="s">
        <v>194</v>
      </c>
      <c r="G298">
        <v>67.92</v>
      </c>
      <c r="H298">
        <v>11.17</v>
      </c>
      <c r="I298">
        <v>4</v>
      </c>
      <c r="J298" t="str">
        <f>TEXT(SalesData[[#This Row],[Order Date]],"mmm")</f>
        <v>Feb</v>
      </c>
      <c r="K298">
        <f>YEAR(SalesData[[#This Row],[Order Date]])</f>
        <v>2025</v>
      </c>
      <c r="L298" s="3">
        <f>SalesData[[#This Row],[Profit]]/SalesData[[#This Row],[Sales]]</f>
        <v>0.16445818610129564</v>
      </c>
    </row>
    <row r="299" spans="1:12">
      <c r="A299" t="s">
        <v>583</v>
      </c>
      <c r="B299" s="2">
        <v>45795</v>
      </c>
      <c r="C299" t="s">
        <v>584</v>
      </c>
      <c r="D299" t="s">
        <v>14</v>
      </c>
      <c r="E299" t="s">
        <v>33</v>
      </c>
      <c r="F299" t="s">
        <v>170</v>
      </c>
      <c r="G299">
        <v>3865.4</v>
      </c>
      <c r="H299">
        <v>827.24</v>
      </c>
      <c r="I299">
        <v>5</v>
      </c>
      <c r="J299" t="str">
        <f>TEXT(SalesData[[#This Row],[Order Date]],"mmm")</f>
        <v>May</v>
      </c>
      <c r="K299">
        <f>YEAR(SalesData[[#This Row],[Order Date]])</f>
        <v>2025</v>
      </c>
      <c r="L299" s="3">
        <f>SalesData[[#This Row],[Profit]]/SalesData[[#This Row],[Sales]]</f>
        <v>0.21401148652144666</v>
      </c>
    </row>
    <row r="300" spans="1:12">
      <c r="A300" t="s">
        <v>585</v>
      </c>
      <c r="B300" s="2">
        <v>45682</v>
      </c>
      <c r="C300" t="s">
        <v>586</v>
      </c>
      <c r="D300" t="s">
        <v>28</v>
      </c>
      <c r="E300" t="s">
        <v>15</v>
      </c>
      <c r="F300" t="s">
        <v>16</v>
      </c>
      <c r="G300">
        <v>65.64</v>
      </c>
      <c r="H300">
        <v>13.05</v>
      </c>
      <c r="I300">
        <v>4</v>
      </c>
      <c r="J300" t="str">
        <f>TEXT(SalesData[[#This Row],[Order Date]],"mmm")</f>
        <v>Jan</v>
      </c>
      <c r="K300">
        <f>YEAR(SalesData[[#This Row],[Order Date]])</f>
        <v>2025</v>
      </c>
      <c r="L300" s="3">
        <f>SalesData[[#This Row],[Profit]]/SalesData[[#This Row],[Sales]]</f>
        <v>0.19881170018281535</v>
      </c>
    </row>
    <row r="301" spans="1:12">
      <c r="A301" t="s">
        <v>587</v>
      </c>
      <c r="B301" s="2">
        <v>46010</v>
      </c>
      <c r="C301" t="s">
        <v>588</v>
      </c>
      <c r="D301" t="s">
        <v>14</v>
      </c>
      <c r="E301" t="s">
        <v>15</v>
      </c>
      <c r="F301" t="s">
        <v>29</v>
      </c>
      <c r="G301">
        <v>25.1</v>
      </c>
      <c r="H301">
        <v>2.65</v>
      </c>
      <c r="I301">
        <v>1</v>
      </c>
      <c r="J301" t="str">
        <f>TEXT(SalesData[[#This Row],[Order Date]],"mmm")</f>
        <v>Dec</v>
      </c>
      <c r="K301">
        <f>YEAR(SalesData[[#This Row],[Order Date]])</f>
        <v>2025</v>
      </c>
      <c r="L301" s="3">
        <f>SalesData[[#This Row],[Profit]]/SalesData[[#This Row],[Sales]]</f>
        <v>0.10557768924302788</v>
      </c>
    </row>
    <row r="302" spans="1:12">
      <c r="A302" t="s">
        <v>589</v>
      </c>
      <c r="B302" s="2">
        <v>45742</v>
      </c>
      <c r="C302" t="s">
        <v>590</v>
      </c>
      <c r="D302" t="s">
        <v>14</v>
      </c>
      <c r="E302" t="s">
        <v>41</v>
      </c>
      <c r="F302" t="s">
        <v>158</v>
      </c>
      <c r="G302">
        <v>689.92</v>
      </c>
      <c r="H302">
        <v>-95.18</v>
      </c>
      <c r="I302">
        <v>4</v>
      </c>
      <c r="J302" t="str">
        <f>TEXT(SalesData[[#This Row],[Order Date]],"mmm")</f>
        <v>Mar</v>
      </c>
      <c r="K302">
        <f>YEAR(SalesData[[#This Row],[Order Date]])</f>
        <v>2025</v>
      </c>
      <c r="L302" s="3">
        <f>SalesData[[#This Row],[Profit]]/SalesData[[#This Row],[Sales]]</f>
        <v>-0.13795802411873842</v>
      </c>
    </row>
    <row r="303" spans="1:12">
      <c r="A303" t="s">
        <v>591</v>
      </c>
      <c r="B303" s="2">
        <v>45902</v>
      </c>
      <c r="C303" t="s">
        <v>592</v>
      </c>
      <c r="D303" t="s">
        <v>23</v>
      </c>
      <c r="E303" t="s">
        <v>15</v>
      </c>
      <c r="F303" t="s">
        <v>109</v>
      </c>
      <c r="G303">
        <v>5.2</v>
      </c>
      <c r="H303">
        <v>0.53</v>
      </c>
      <c r="I303">
        <v>1</v>
      </c>
      <c r="J303" t="str">
        <f>TEXT(SalesData[[#This Row],[Order Date]],"mmm")</f>
        <v>Sep</v>
      </c>
      <c r="K303">
        <f>YEAR(SalesData[[#This Row],[Order Date]])</f>
        <v>2025</v>
      </c>
      <c r="L303" s="3">
        <f>SalesData[[#This Row],[Profit]]/SalesData[[#This Row],[Sales]]</f>
        <v>0.10192307692307692</v>
      </c>
    </row>
    <row r="304" spans="1:12">
      <c r="A304" t="s">
        <v>593</v>
      </c>
      <c r="B304" s="2">
        <v>45874</v>
      </c>
      <c r="C304" t="s">
        <v>594</v>
      </c>
      <c r="D304" t="s">
        <v>28</v>
      </c>
      <c r="E304" t="s">
        <v>15</v>
      </c>
      <c r="F304" t="s">
        <v>109</v>
      </c>
      <c r="G304">
        <v>23.27</v>
      </c>
      <c r="H304">
        <v>1.52</v>
      </c>
      <c r="I304">
        <v>1</v>
      </c>
      <c r="J304" t="str">
        <f>TEXT(SalesData[[#This Row],[Order Date]],"mmm")</f>
        <v>Aug</v>
      </c>
      <c r="K304">
        <f>YEAR(SalesData[[#This Row],[Order Date]])</f>
        <v>2025</v>
      </c>
      <c r="L304" s="3">
        <f>SalesData[[#This Row],[Profit]]/SalesData[[#This Row],[Sales]]</f>
        <v>6.5320154705629574E-2</v>
      </c>
    </row>
    <row r="305" spans="1:12">
      <c r="A305" t="s">
        <v>595</v>
      </c>
      <c r="B305" s="2">
        <v>45811</v>
      </c>
      <c r="C305" t="s">
        <v>596</v>
      </c>
      <c r="D305" t="s">
        <v>19</v>
      </c>
      <c r="E305" t="s">
        <v>41</v>
      </c>
      <c r="F305" t="s">
        <v>158</v>
      </c>
      <c r="G305">
        <v>144.36000000000001</v>
      </c>
      <c r="H305">
        <v>14.74</v>
      </c>
      <c r="I305">
        <v>1</v>
      </c>
      <c r="J305" t="str">
        <f>TEXT(SalesData[[#This Row],[Order Date]],"mmm")</f>
        <v>Jun</v>
      </c>
      <c r="K305">
        <f>YEAR(SalesData[[#This Row],[Order Date]])</f>
        <v>2025</v>
      </c>
      <c r="L305" s="3">
        <f>SalesData[[#This Row],[Profit]]/SalesData[[#This Row],[Sales]]</f>
        <v>0.10210584649487392</v>
      </c>
    </row>
    <row r="306" spans="1:12">
      <c r="A306" t="s">
        <v>597</v>
      </c>
      <c r="B306" s="2">
        <v>45883</v>
      </c>
      <c r="C306" t="s">
        <v>40</v>
      </c>
      <c r="D306" t="s">
        <v>19</v>
      </c>
      <c r="E306" t="s">
        <v>37</v>
      </c>
      <c r="F306" t="s">
        <v>194</v>
      </c>
      <c r="G306">
        <v>175.98</v>
      </c>
      <c r="H306">
        <v>23.33</v>
      </c>
      <c r="I306">
        <v>6</v>
      </c>
      <c r="J306" t="str">
        <f>TEXT(SalesData[[#This Row],[Order Date]],"mmm")</f>
        <v>Aug</v>
      </c>
      <c r="K306">
        <f>YEAR(SalesData[[#This Row],[Order Date]])</f>
        <v>2025</v>
      </c>
      <c r="L306" s="3">
        <f>SalesData[[#This Row],[Profit]]/SalesData[[#This Row],[Sales]]</f>
        <v>0.13257188316854188</v>
      </c>
    </row>
    <row r="307" spans="1:12">
      <c r="A307" t="s">
        <v>598</v>
      </c>
      <c r="B307" s="2">
        <v>45729</v>
      </c>
      <c r="C307" t="s">
        <v>599</v>
      </c>
      <c r="D307" t="s">
        <v>23</v>
      </c>
      <c r="E307" t="s">
        <v>41</v>
      </c>
      <c r="F307" t="s">
        <v>58</v>
      </c>
      <c r="G307">
        <v>383.04</v>
      </c>
      <c r="H307">
        <v>51.69</v>
      </c>
      <c r="I307">
        <v>4</v>
      </c>
      <c r="J307" t="str">
        <f>TEXT(SalesData[[#This Row],[Order Date]],"mmm")</f>
        <v>Mar</v>
      </c>
      <c r="K307">
        <f>YEAR(SalesData[[#This Row],[Order Date]])</f>
        <v>2025</v>
      </c>
      <c r="L307" s="3">
        <f>SalesData[[#This Row],[Profit]]/SalesData[[#This Row],[Sales]]</f>
        <v>0.13494674185463656</v>
      </c>
    </row>
    <row r="308" spans="1:12">
      <c r="A308" t="s">
        <v>600</v>
      </c>
      <c r="B308" s="2">
        <v>45701</v>
      </c>
      <c r="C308" t="s">
        <v>601</v>
      </c>
      <c r="D308" t="s">
        <v>23</v>
      </c>
      <c r="E308" t="s">
        <v>41</v>
      </c>
      <c r="F308" t="s">
        <v>68</v>
      </c>
      <c r="G308">
        <v>600.80999999999995</v>
      </c>
      <c r="H308">
        <v>163.79</v>
      </c>
      <c r="I308">
        <v>3</v>
      </c>
      <c r="J308" t="str">
        <f>TEXT(SalesData[[#This Row],[Order Date]],"mmm")</f>
        <v>Feb</v>
      </c>
      <c r="K308">
        <f>YEAR(SalesData[[#This Row],[Order Date]])</f>
        <v>2025</v>
      </c>
      <c r="L308" s="3">
        <f>SalesData[[#This Row],[Profit]]/SalesData[[#This Row],[Sales]]</f>
        <v>0.27261530267472245</v>
      </c>
    </row>
    <row r="309" spans="1:12">
      <c r="A309" t="s">
        <v>602</v>
      </c>
      <c r="B309" s="2">
        <v>45995</v>
      </c>
      <c r="C309" t="s">
        <v>603</v>
      </c>
      <c r="D309" t="s">
        <v>19</v>
      </c>
      <c r="E309" t="s">
        <v>33</v>
      </c>
      <c r="F309" t="s">
        <v>34</v>
      </c>
      <c r="G309">
        <v>1624.07</v>
      </c>
      <c r="H309">
        <v>144.99</v>
      </c>
      <c r="I309">
        <v>2</v>
      </c>
      <c r="J309" t="str">
        <f>TEXT(SalesData[[#This Row],[Order Date]],"mmm")</f>
        <v>Dec</v>
      </c>
      <c r="K309">
        <f>YEAR(SalesData[[#This Row],[Order Date]])</f>
        <v>2025</v>
      </c>
      <c r="L309" s="3">
        <f>SalesData[[#This Row],[Profit]]/SalesData[[#This Row],[Sales]]</f>
        <v>8.9275708559360137E-2</v>
      </c>
    </row>
    <row r="310" spans="1:12">
      <c r="A310" t="s">
        <v>604</v>
      </c>
      <c r="B310" s="2">
        <v>45780</v>
      </c>
      <c r="C310" t="s">
        <v>605</v>
      </c>
      <c r="D310" t="s">
        <v>32</v>
      </c>
      <c r="E310" t="s">
        <v>15</v>
      </c>
      <c r="F310" t="s">
        <v>20</v>
      </c>
      <c r="G310">
        <v>18.21</v>
      </c>
      <c r="H310">
        <v>3.58</v>
      </c>
      <c r="I310">
        <v>1</v>
      </c>
      <c r="J310" t="str">
        <f>TEXT(SalesData[[#This Row],[Order Date]],"mmm")</f>
        <v>May</v>
      </c>
      <c r="K310">
        <f>YEAR(SalesData[[#This Row],[Order Date]])</f>
        <v>2025</v>
      </c>
      <c r="L310" s="3">
        <f>SalesData[[#This Row],[Profit]]/SalesData[[#This Row],[Sales]]</f>
        <v>0.19659527732015375</v>
      </c>
    </row>
    <row r="311" spans="1:12">
      <c r="A311" t="s">
        <v>606</v>
      </c>
      <c r="B311" s="2">
        <v>45820</v>
      </c>
      <c r="C311" t="s">
        <v>596</v>
      </c>
      <c r="D311" t="s">
        <v>23</v>
      </c>
      <c r="E311" t="s">
        <v>24</v>
      </c>
      <c r="F311" t="s">
        <v>55</v>
      </c>
      <c r="G311">
        <v>462.06</v>
      </c>
      <c r="H311">
        <v>89.73</v>
      </c>
      <c r="I311">
        <v>6</v>
      </c>
      <c r="J311" t="str">
        <f>TEXT(SalesData[[#This Row],[Order Date]],"mmm")</f>
        <v>Jun</v>
      </c>
      <c r="K311">
        <f>YEAR(SalesData[[#This Row],[Order Date]])</f>
        <v>2025</v>
      </c>
      <c r="L311" s="3">
        <f>SalesData[[#This Row],[Profit]]/SalesData[[#This Row],[Sales]]</f>
        <v>0.19419555901830932</v>
      </c>
    </row>
    <row r="312" spans="1:12">
      <c r="A312" t="s">
        <v>607</v>
      </c>
      <c r="B312" s="2">
        <v>45695</v>
      </c>
      <c r="C312" t="s">
        <v>608</v>
      </c>
      <c r="D312" t="s">
        <v>32</v>
      </c>
      <c r="E312" t="s">
        <v>15</v>
      </c>
      <c r="F312" t="s">
        <v>16</v>
      </c>
      <c r="G312">
        <v>28.06</v>
      </c>
      <c r="H312">
        <v>5.4</v>
      </c>
      <c r="I312">
        <v>1</v>
      </c>
      <c r="J312" t="str">
        <f>TEXT(SalesData[[#This Row],[Order Date]],"mmm")</f>
        <v>Feb</v>
      </c>
      <c r="K312">
        <f>YEAR(SalesData[[#This Row],[Order Date]])</f>
        <v>2025</v>
      </c>
      <c r="L312" s="3">
        <f>SalesData[[#This Row],[Profit]]/SalesData[[#This Row],[Sales]]</f>
        <v>0.19244476122594442</v>
      </c>
    </row>
    <row r="313" spans="1:12">
      <c r="A313" t="s">
        <v>609</v>
      </c>
      <c r="B313" s="2">
        <v>45804</v>
      </c>
      <c r="C313" t="s">
        <v>610</v>
      </c>
      <c r="D313" t="s">
        <v>28</v>
      </c>
      <c r="E313" t="s">
        <v>24</v>
      </c>
      <c r="F313" t="s">
        <v>88</v>
      </c>
      <c r="G313">
        <v>231.38</v>
      </c>
      <c r="H313">
        <v>48.02</v>
      </c>
      <c r="I313">
        <v>1</v>
      </c>
      <c r="J313" t="str">
        <f>TEXT(SalesData[[#This Row],[Order Date]],"mmm")</f>
        <v>May</v>
      </c>
      <c r="K313">
        <f>YEAR(SalesData[[#This Row],[Order Date]])</f>
        <v>2025</v>
      </c>
      <c r="L313" s="3">
        <f>SalesData[[#This Row],[Profit]]/SalesData[[#This Row],[Sales]]</f>
        <v>0.20753738438931629</v>
      </c>
    </row>
    <row r="314" spans="1:12">
      <c r="A314" t="s">
        <v>611</v>
      </c>
      <c r="B314" s="2">
        <v>45700</v>
      </c>
      <c r="C314" t="s">
        <v>612</v>
      </c>
      <c r="D314" t="s">
        <v>23</v>
      </c>
      <c r="E314" t="s">
        <v>37</v>
      </c>
      <c r="F314" t="s">
        <v>85</v>
      </c>
      <c r="G314">
        <v>114.85</v>
      </c>
      <c r="H314">
        <v>21.59</v>
      </c>
      <c r="I314">
        <v>5</v>
      </c>
      <c r="J314" t="str">
        <f>TEXT(SalesData[[#This Row],[Order Date]],"mmm")</f>
        <v>Feb</v>
      </c>
      <c r="K314">
        <f>YEAR(SalesData[[#This Row],[Order Date]])</f>
        <v>2025</v>
      </c>
      <c r="L314" s="3">
        <f>SalesData[[#This Row],[Profit]]/SalesData[[#This Row],[Sales]]</f>
        <v>0.18798432738354376</v>
      </c>
    </row>
    <row r="315" spans="1:12">
      <c r="A315" t="s">
        <v>613</v>
      </c>
      <c r="B315" s="2">
        <v>45990</v>
      </c>
      <c r="C315" t="s">
        <v>614</v>
      </c>
      <c r="D315" t="s">
        <v>14</v>
      </c>
      <c r="E315" t="s">
        <v>41</v>
      </c>
      <c r="F315" t="s">
        <v>158</v>
      </c>
      <c r="G315">
        <v>110.2</v>
      </c>
      <c r="H315">
        <v>14.22</v>
      </c>
      <c r="I315">
        <v>1</v>
      </c>
      <c r="J315" t="str">
        <f>TEXT(SalesData[[#This Row],[Order Date]],"mmm")</f>
        <v>Nov</v>
      </c>
      <c r="K315">
        <f>YEAR(SalesData[[#This Row],[Order Date]])</f>
        <v>2025</v>
      </c>
      <c r="L315" s="3">
        <f>SalesData[[#This Row],[Profit]]/SalesData[[#This Row],[Sales]]</f>
        <v>0.12903811252268602</v>
      </c>
    </row>
    <row r="316" spans="1:12">
      <c r="A316" t="s">
        <v>615</v>
      </c>
      <c r="B316" s="2">
        <v>45686</v>
      </c>
      <c r="C316" t="s">
        <v>616</v>
      </c>
      <c r="D316" t="s">
        <v>32</v>
      </c>
      <c r="E316" t="s">
        <v>15</v>
      </c>
      <c r="F316" t="s">
        <v>16</v>
      </c>
      <c r="G316">
        <v>31.68</v>
      </c>
      <c r="H316">
        <v>3.94</v>
      </c>
      <c r="I316">
        <v>6</v>
      </c>
      <c r="J316" t="str">
        <f>TEXT(SalesData[[#This Row],[Order Date]],"mmm")</f>
        <v>Jan</v>
      </c>
      <c r="K316">
        <f>YEAR(SalesData[[#This Row],[Order Date]])</f>
        <v>2025</v>
      </c>
      <c r="L316" s="3">
        <f>SalesData[[#This Row],[Profit]]/SalesData[[#This Row],[Sales]]</f>
        <v>0.12436868686868686</v>
      </c>
    </row>
    <row r="317" spans="1:12">
      <c r="A317" t="s">
        <v>617</v>
      </c>
      <c r="B317" s="2">
        <v>45922</v>
      </c>
      <c r="C317" t="s">
        <v>618</v>
      </c>
      <c r="D317" t="s">
        <v>19</v>
      </c>
      <c r="E317" t="s">
        <v>24</v>
      </c>
      <c r="F317" t="s">
        <v>97</v>
      </c>
      <c r="G317">
        <v>1875.12</v>
      </c>
      <c r="H317">
        <v>-238.41</v>
      </c>
      <c r="I317">
        <v>6</v>
      </c>
      <c r="J317" t="str">
        <f>TEXT(SalesData[[#This Row],[Order Date]],"mmm")</f>
        <v>Sep</v>
      </c>
      <c r="K317">
        <f>YEAR(SalesData[[#This Row],[Order Date]])</f>
        <v>2025</v>
      </c>
      <c r="L317" s="3">
        <f>SalesData[[#This Row],[Profit]]/SalesData[[#This Row],[Sales]]</f>
        <v>-0.12714386279278128</v>
      </c>
    </row>
    <row r="318" spans="1:12">
      <c r="A318" t="s">
        <v>619</v>
      </c>
      <c r="B318" s="2">
        <v>45877</v>
      </c>
      <c r="C318" t="s">
        <v>620</v>
      </c>
      <c r="D318" t="s">
        <v>32</v>
      </c>
      <c r="E318" t="s">
        <v>24</v>
      </c>
      <c r="F318" t="s">
        <v>55</v>
      </c>
      <c r="G318">
        <v>272.58</v>
      </c>
      <c r="H318">
        <v>52.07</v>
      </c>
      <c r="I318">
        <v>6</v>
      </c>
      <c r="J318" t="str">
        <f>TEXT(SalesData[[#This Row],[Order Date]],"mmm")</f>
        <v>Aug</v>
      </c>
      <c r="K318">
        <f>YEAR(SalesData[[#This Row],[Order Date]])</f>
        <v>2025</v>
      </c>
      <c r="L318" s="3">
        <f>SalesData[[#This Row],[Profit]]/SalesData[[#This Row],[Sales]]</f>
        <v>0.19102648763665714</v>
      </c>
    </row>
    <row r="319" spans="1:12">
      <c r="A319" t="s">
        <v>621</v>
      </c>
      <c r="B319" s="2">
        <v>45913</v>
      </c>
      <c r="C319" t="s">
        <v>622</v>
      </c>
      <c r="D319" t="s">
        <v>19</v>
      </c>
      <c r="E319" t="s">
        <v>24</v>
      </c>
      <c r="F319" t="s">
        <v>97</v>
      </c>
      <c r="G319">
        <v>315.11</v>
      </c>
      <c r="H319">
        <v>74</v>
      </c>
      <c r="I319">
        <v>1</v>
      </c>
      <c r="J319" t="str">
        <f>TEXT(SalesData[[#This Row],[Order Date]],"mmm")</f>
        <v>Sep</v>
      </c>
      <c r="K319">
        <f>YEAR(SalesData[[#This Row],[Order Date]])</f>
        <v>2025</v>
      </c>
      <c r="L319" s="3">
        <f>SalesData[[#This Row],[Profit]]/SalesData[[#This Row],[Sales]]</f>
        <v>0.23483862778077497</v>
      </c>
    </row>
    <row r="320" spans="1:12">
      <c r="A320" t="s">
        <v>623</v>
      </c>
      <c r="B320" s="2">
        <v>45918</v>
      </c>
      <c r="C320" t="s">
        <v>624</v>
      </c>
      <c r="D320" t="s">
        <v>32</v>
      </c>
      <c r="E320" t="s">
        <v>15</v>
      </c>
      <c r="F320" t="s">
        <v>109</v>
      </c>
      <c r="G320">
        <v>43.71</v>
      </c>
      <c r="H320">
        <v>3.17</v>
      </c>
      <c r="I320">
        <v>3</v>
      </c>
      <c r="J320" t="str">
        <f>TEXT(SalesData[[#This Row],[Order Date]],"mmm")</f>
        <v>Sep</v>
      </c>
      <c r="K320">
        <f>YEAR(SalesData[[#This Row],[Order Date]])</f>
        <v>2025</v>
      </c>
      <c r="L320" s="3">
        <f>SalesData[[#This Row],[Profit]]/SalesData[[#This Row],[Sales]]</f>
        <v>7.2523450011439033E-2</v>
      </c>
    </row>
    <row r="321" spans="1:12">
      <c r="A321" t="s">
        <v>625</v>
      </c>
      <c r="B321" s="2">
        <v>45676</v>
      </c>
      <c r="C321" t="s">
        <v>268</v>
      </c>
      <c r="D321" t="s">
        <v>19</v>
      </c>
      <c r="E321" t="s">
        <v>24</v>
      </c>
      <c r="F321" t="s">
        <v>88</v>
      </c>
      <c r="G321">
        <v>753.48</v>
      </c>
      <c r="H321">
        <v>199.82</v>
      </c>
      <c r="I321">
        <v>6</v>
      </c>
      <c r="J321" t="str">
        <f>TEXT(SalesData[[#This Row],[Order Date]],"mmm")</f>
        <v>Jan</v>
      </c>
      <c r="K321">
        <f>YEAR(SalesData[[#This Row],[Order Date]])</f>
        <v>2025</v>
      </c>
      <c r="L321" s="3">
        <f>SalesData[[#This Row],[Profit]]/SalesData[[#This Row],[Sales]]</f>
        <v>0.26519615650050432</v>
      </c>
    </row>
    <row r="322" spans="1:12">
      <c r="A322" t="s">
        <v>626</v>
      </c>
      <c r="B322" s="2">
        <v>45719</v>
      </c>
      <c r="C322" t="s">
        <v>627</v>
      </c>
      <c r="D322" t="s">
        <v>19</v>
      </c>
      <c r="E322" t="s">
        <v>15</v>
      </c>
      <c r="F322" t="s">
        <v>20</v>
      </c>
      <c r="G322">
        <v>28.85</v>
      </c>
      <c r="H322">
        <v>1.74</v>
      </c>
      <c r="I322">
        <v>1</v>
      </c>
      <c r="J322" t="str">
        <f>TEXT(SalesData[[#This Row],[Order Date]],"mmm")</f>
        <v>Mar</v>
      </c>
      <c r="K322">
        <f>YEAR(SalesData[[#This Row],[Order Date]])</f>
        <v>2025</v>
      </c>
      <c r="L322" s="3">
        <f>SalesData[[#This Row],[Profit]]/SalesData[[#This Row],[Sales]]</f>
        <v>6.0311958405545922E-2</v>
      </c>
    </row>
    <row r="323" spans="1:12">
      <c r="A323" t="s">
        <v>628</v>
      </c>
      <c r="B323" s="2">
        <v>45802</v>
      </c>
      <c r="C323" t="s">
        <v>36</v>
      </c>
      <c r="D323" t="s">
        <v>14</v>
      </c>
      <c r="E323" t="s">
        <v>15</v>
      </c>
      <c r="F323" t="s">
        <v>109</v>
      </c>
      <c r="G323">
        <v>14.22</v>
      </c>
      <c r="H323">
        <v>1.33</v>
      </c>
      <c r="I323">
        <v>1</v>
      </c>
      <c r="J323" t="str">
        <f>TEXT(SalesData[[#This Row],[Order Date]],"mmm")</f>
        <v>May</v>
      </c>
      <c r="K323">
        <f>YEAR(SalesData[[#This Row],[Order Date]])</f>
        <v>2025</v>
      </c>
      <c r="L323" s="3">
        <f>SalesData[[#This Row],[Profit]]/SalesData[[#This Row],[Sales]]</f>
        <v>9.3530239099859358E-2</v>
      </c>
    </row>
    <row r="324" spans="1:12">
      <c r="A324" t="s">
        <v>629</v>
      </c>
      <c r="B324" s="2">
        <v>45976</v>
      </c>
      <c r="C324" t="s">
        <v>22</v>
      </c>
      <c r="D324" t="s">
        <v>14</v>
      </c>
      <c r="E324" t="s">
        <v>33</v>
      </c>
      <c r="F324" t="s">
        <v>63</v>
      </c>
      <c r="G324">
        <v>1693.51</v>
      </c>
      <c r="H324">
        <v>364.64</v>
      </c>
      <c r="I324">
        <v>2</v>
      </c>
      <c r="J324" t="str">
        <f>TEXT(SalesData[[#This Row],[Order Date]],"mmm")</f>
        <v>Nov</v>
      </c>
      <c r="K324">
        <f>YEAR(SalesData[[#This Row],[Order Date]])</f>
        <v>2025</v>
      </c>
      <c r="L324" s="3">
        <f>SalesData[[#This Row],[Profit]]/SalesData[[#This Row],[Sales]]</f>
        <v>0.21531611859392621</v>
      </c>
    </row>
    <row r="325" spans="1:12">
      <c r="A325" t="s">
        <v>630</v>
      </c>
      <c r="B325" s="2">
        <v>45867</v>
      </c>
      <c r="C325" t="s">
        <v>631</v>
      </c>
      <c r="D325" t="s">
        <v>23</v>
      </c>
      <c r="E325" t="s">
        <v>24</v>
      </c>
      <c r="F325" t="s">
        <v>25</v>
      </c>
      <c r="G325">
        <v>61.44</v>
      </c>
      <c r="H325">
        <v>14.22</v>
      </c>
      <c r="I325">
        <v>3</v>
      </c>
      <c r="J325" t="str">
        <f>TEXT(SalesData[[#This Row],[Order Date]],"mmm")</f>
        <v>Jul</v>
      </c>
      <c r="K325">
        <f>YEAR(SalesData[[#This Row],[Order Date]])</f>
        <v>2025</v>
      </c>
      <c r="L325" s="3">
        <f>SalesData[[#This Row],[Profit]]/SalesData[[#This Row],[Sales]]</f>
        <v>0.23144531250000003</v>
      </c>
    </row>
    <row r="326" spans="1:12">
      <c r="A326" t="s">
        <v>632</v>
      </c>
      <c r="B326" s="2">
        <v>45815</v>
      </c>
      <c r="C326" t="s">
        <v>633</v>
      </c>
      <c r="D326" t="s">
        <v>23</v>
      </c>
      <c r="E326" t="s">
        <v>37</v>
      </c>
      <c r="F326" t="s">
        <v>155</v>
      </c>
      <c r="G326">
        <v>231.48</v>
      </c>
      <c r="H326">
        <v>56.92</v>
      </c>
      <c r="I326">
        <v>4</v>
      </c>
      <c r="J326" t="str">
        <f>TEXT(SalesData[[#This Row],[Order Date]],"mmm")</f>
        <v>Jun</v>
      </c>
      <c r="K326">
        <f>YEAR(SalesData[[#This Row],[Order Date]])</f>
        <v>2025</v>
      </c>
      <c r="L326" s="3">
        <f>SalesData[[#This Row],[Profit]]/SalesData[[#This Row],[Sales]]</f>
        <v>0.24589597373423192</v>
      </c>
    </row>
    <row r="327" spans="1:12">
      <c r="A327" t="s">
        <v>634</v>
      </c>
      <c r="B327" s="2">
        <v>45801</v>
      </c>
      <c r="C327" t="s">
        <v>206</v>
      </c>
      <c r="D327" t="s">
        <v>19</v>
      </c>
      <c r="E327" t="s">
        <v>37</v>
      </c>
      <c r="F327" t="s">
        <v>194</v>
      </c>
      <c r="G327">
        <v>174.2</v>
      </c>
      <c r="H327">
        <v>27.15</v>
      </c>
      <c r="I327">
        <v>4</v>
      </c>
      <c r="J327" t="str">
        <f>TEXT(SalesData[[#This Row],[Order Date]],"mmm")</f>
        <v>May</v>
      </c>
      <c r="K327">
        <f>YEAR(SalesData[[#This Row],[Order Date]])</f>
        <v>2025</v>
      </c>
      <c r="L327" s="3">
        <f>SalesData[[#This Row],[Profit]]/SalesData[[#This Row],[Sales]]</f>
        <v>0.15585533869115958</v>
      </c>
    </row>
    <row r="328" spans="1:12">
      <c r="A328" t="s">
        <v>635</v>
      </c>
      <c r="B328" s="2">
        <v>45701</v>
      </c>
      <c r="C328" t="s">
        <v>636</v>
      </c>
      <c r="D328" t="s">
        <v>23</v>
      </c>
      <c r="E328" t="s">
        <v>15</v>
      </c>
      <c r="F328" t="s">
        <v>109</v>
      </c>
      <c r="G328">
        <v>19.8</v>
      </c>
      <c r="H328">
        <v>1.17</v>
      </c>
      <c r="I328">
        <v>1</v>
      </c>
      <c r="J328" t="str">
        <f>TEXT(SalesData[[#This Row],[Order Date]],"mmm")</f>
        <v>Feb</v>
      </c>
      <c r="K328">
        <f>YEAR(SalesData[[#This Row],[Order Date]])</f>
        <v>2025</v>
      </c>
      <c r="L328" s="3">
        <f>SalesData[[#This Row],[Profit]]/SalesData[[#This Row],[Sales]]</f>
        <v>5.9090909090909083E-2</v>
      </c>
    </row>
    <row r="329" spans="1:12">
      <c r="A329" t="s">
        <v>637</v>
      </c>
      <c r="B329" s="2">
        <v>45724</v>
      </c>
      <c r="C329" t="s">
        <v>638</v>
      </c>
      <c r="D329" t="s">
        <v>14</v>
      </c>
      <c r="E329" t="s">
        <v>37</v>
      </c>
      <c r="F329" t="s">
        <v>155</v>
      </c>
      <c r="G329">
        <v>304.5</v>
      </c>
      <c r="H329">
        <v>45.35</v>
      </c>
      <c r="I329">
        <v>6</v>
      </c>
      <c r="J329" t="str">
        <f>TEXT(SalesData[[#This Row],[Order Date]],"mmm")</f>
        <v>Mar</v>
      </c>
      <c r="K329">
        <f>YEAR(SalesData[[#This Row],[Order Date]])</f>
        <v>2025</v>
      </c>
      <c r="L329" s="3">
        <f>SalesData[[#This Row],[Profit]]/SalesData[[#This Row],[Sales]]</f>
        <v>0.14893267651888342</v>
      </c>
    </row>
    <row r="330" spans="1:12">
      <c r="A330" t="s">
        <v>639</v>
      </c>
      <c r="B330" s="2">
        <v>45777</v>
      </c>
      <c r="C330" t="s">
        <v>46</v>
      </c>
      <c r="D330" t="s">
        <v>19</v>
      </c>
      <c r="E330" t="s">
        <v>41</v>
      </c>
      <c r="F330" t="s">
        <v>68</v>
      </c>
      <c r="G330">
        <v>59.97</v>
      </c>
      <c r="H330">
        <v>8.4600000000000009</v>
      </c>
      <c r="I330">
        <v>1</v>
      </c>
      <c r="J330" t="str">
        <f>TEXT(SalesData[[#This Row],[Order Date]],"mmm")</f>
        <v>Apr</v>
      </c>
      <c r="K330">
        <f>YEAR(SalesData[[#This Row],[Order Date]])</f>
        <v>2025</v>
      </c>
      <c r="L330" s="3">
        <f>SalesData[[#This Row],[Profit]]/SalesData[[#This Row],[Sales]]</f>
        <v>0.14107053526763383</v>
      </c>
    </row>
    <row r="331" spans="1:12">
      <c r="A331" t="s">
        <v>640</v>
      </c>
      <c r="B331" s="2">
        <v>45866</v>
      </c>
      <c r="C331" t="s">
        <v>641</v>
      </c>
      <c r="D331" t="s">
        <v>14</v>
      </c>
      <c r="E331" t="s">
        <v>37</v>
      </c>
      <c r="F331" t="s">
        <v>85</v>
      </c>
      <c r="G331">
        <v>87.84</v>
      </c>
      <c r="H331">
        <v>12.28</v>
      </c>
      <c r="I331">
        <v>4</v>
      </c>
      <c r="J331" t="str">
        <f>TEXT(SalesData[[#This Row],[Order Date]],"mmm")</f>
        <v>Jul</v>
      </c>
      <c r="K331">
        <f>YEAR(SalesData[[#This Row],[Order Date]])</f>
        <v>2025</v>
      </c>
      <c r="L331" s="3">
        <f>SalesData[[#This Row],[Profit]]/SalesData[[#This Row],[Sales]]</f>
        <v>0.13979963570127504</v>
      </c>
    </row>
    <row r="332" spans="1:12">
      <c r="A332" t="s">
        <v>642</v>
      </c>
      <c r="B332" s="2">
        <v>45738</v>
      </c>
      <c r="C332" t="s">
        <v>643</v>
      </c>
      <c r="D332" t="s">
        <v>23</v>
      </c>
      <c r="E332" t="s">
        <v>15</v>
      </c>
      <c r="F332" t="s">
        <v>29</v>
      </c>
      <c r="G332">
        <v>14.56</v>
      </c>
      <c r="H332">
        <v>1.27</v>
      </c>
      <c r="I332">
        <v>2</v>
      </c>
      <c r="J332" t="str">
        <f>TEXT(SalesData[[#This Row],[Order Date]],"mmm")</f>
        <v>Mar</v>
      </c>
      <c r="K332">
        <f>YEAR(SalesData[[#This Row],[Order Date]])</f>
        <v>2025</v>
      </c>
      <c r="L332" s="3">
        <f>SalesData[[#This Row],[Profit]]/SalesData[[#This Row],[Sales]]</f>
        <v>8.7225274725274721E-2</v>
      </c>
    </row>
    <row r="333" spans="1:12">
      <c r="A333" t="s">
        <v>644</v>
      </c>
      <c r="B333" s="2">
        <v>45920</v>
      </c>
      <c r="C333" t="s">
        <v>369</v>
      </c>
      <c r="D333" t="s">
        <v>14</v>
      </c>
      <c r="E333" t="s">
        <v>41</v>
      </c>
      <c r="F333" t="s">
        <v>158</v>
      </c>
      <c r="G333">
        <v>239.22</v>
      </c>
      <c r="H333">
        <v>75.03</v>
      </c>
      <c r="I333">
        <v>1</v>
      </c>
      <c r="J333" t="str">
        <f>TEXT(SalesData[[#This Row],[Order Date]],"mmm")</f>
        <v>Sep</v>
      </c>
      <c r="K333">
        <f>YEAR(SalesData[[#This Row],[Order Date]])</f>
        <v>2025</v>
      </c>
      <c r="L333" s="3">
        <f>SalesData[[#This Row],[Profit]]/SalesData[[#This Row],[Sales]]</f>
        <v>0.31364434411838477</v>
      </c>
    </row>
    <row r="334" spans="1:12">
      <c r="A334" t="s">
        <v>645</v>
      </c>
      <c r="B334" s="2">
        <v>45939</v>
      </c>
      <c r="C334" t="s">
        <v>646</v>
      </c>
      <c r="D334" t="s">
        <v>28</v>
      </c>
      <c r="E334" t="s">
        <v>15</v>
      </c>
      <c r="F334" t="s">
        <v>16</v>
      </c>
      <c r="G334">
        <v>5.3</v>
      </c>
      <c r="H334">
        <v>0.93</v>
      </c>
      <c r="I334">
        <v>1</v>
      </c>
      <c r="J334" t="str">
        <f>TEXT(SalesData[[#This Row],[Order Date]],"mmm")</f>
        <v>Oct</v>
      </c>
      <c r="K334">
        <f>YEAR(SalesData[[#This Row],[Order Date]])</f>
        <v>2025</v>
      </c>
      <c r="L334" s="3">
        <f>SalesData[[#This Row],[Profit]]/SalesData[[#This Row],[Sales]]</f>
        <v>0.17547169811320756</v>
      </c>
    </row>
    <row r="335" spans="1:12">
      <c r="A335" t="s">
        <v>647</v>
      </c>
      <c r="B335" s="2">
        <v>45724</v>
      </c>
      <c r="C335" t="s">
        <v>648</v>
      </c>
      <c r="D335" t="s">
        <v>14</v>
      </c>
      <c r="E335" t="s">
        <v>41</v>
      </c>
      <c r="F335" t="s">
        <v>42</v>
      </c>
      <c r="G335">
        <v>784.4</v>
      </c>
      <c r="H335">
        <v>258.35000000000002</v>
      </c>
      <c r="I335">
        <v>5</v>
      </c>
      <c r="J335" t="str">
        <f>TEXT(SalesData[[#This Row],[Order Date]],"mmm")</f>
        <v>Mar</v>
      </c>
      <c r="K335">
        <f>YEAR(SalesData[[#This Row],[Order Date]])</f>
        <v>2025</v>
      </c>
      <c r="L335" s="3">
        <f>SalesData[[#This Row],[Profit]]/SalesData[[#This Row],[Sales]]</f>
        <v>0.3293600203977563</v>
      </c>
    </row>
    <row r="336" spans="1:12">
      <c r="A336" t="s">
        <v>649</v>
      </c>
      <c r="B336" s="2">
        <v>45691</v>
      </c>
      <c r="C336" t="s">
        <v>650</v>
      </c>
      <c r="D336" t="s">
        <v>19</v>
      </c>
      <c r="E336" t="s">
        <v>15</v>
      </c>
      <c r="F336" t="s">
        <v>29</v>
      </c>
      <c r="G336">
        <v>6.07</v>
      </c>
      <c r="H336">
        <v>0.72</v>
      </c>
      <c r="I336">
        <v>1</v>
      </c>
      <c r="J336" t="str">
        <f>TEXT(SalesData[[#This Row],[Order Date]],"mmm")</f>
        <v>Feb</v>
      </c>
      <c r="K336">
        <f>YEAR(SalesData[[#This Row],[Order Date]])</f>
        <v>2025</v>
      </c>
      <c r="L336" s="3">
        <f>SalesData[[#This Row],[Profit]]/SalesData[[#This Row],[Sales]]</f>
        <v>0.11861614497528829</v>
      </c>
    </row>
    <row r="337" spans="1:12">
      <c r="A337" t="s">
        <v>651</v>
      </c>
      <c r="B337" s="2">
        <v>45951</v>
      </c>
      <c r="C337" t="s">
        <v>652</v>
      </c>
      <c r="D337" t="s">
        <v>28</v>
      </c>
      <c r="E337" t="s">
        <v>15</v>
      </c>
      <c r="F337" t="s">
        <v>109</v>
      </c>
      <c r="G337">
        <v>27.7</v>
      </c>
      <c r="H337">
        <v>5.16</v>
      </c>
      <c r="I337">
        <v>2</v>
      </c>
      <c r="J337" t="str">
        <f>TEXT(SalesData[[#This Row],[Order Date]],"mmm")</f>
        <v>Oct</v>
      </c>
      <c r="K337">
        <f>YEAR(SalesData[[#This Row],[Order Date]])</f>
        <v>2025</v>
      </c>
      <c r="L337" s="3">
        <f>SalesData[[#This Row],[Profit]]/SalesData[[#This Row],[Sales]]</f>
        <v>0.18628158844765344</v>
      </c>
    </row>
    <row r="338" spans="1:12">
      <c r="A338" t="s">
        <v>653</v>
      </c>
      <c r="B338" s="2">
        <v>45886</v>
      </c>
      <c r="C338" t="s">
        <v>111</v>
      </c>
      <c r="D338" t="s">
        <v>32</v>
      </c>
      <c r="E338" t="s">
        <v>41</v>
      </c>
      <c r="F338" t="s">
        <v>68</v>
      </c>
      <c r="G338">
        <v>341.28</v>
      </c>
      <c r="H338">
        <v>76.69</v>
      </c>
      <c r="I338">
        <v>2</v>
      </c>
      <c r="J338" t="str">
        <f>TEXT(SalesData[[#This Row],[Order Date]],"mmm")</f>
        <v>Aug</v>
      </c>
      <c r="K338">
        <f>YEAR(SalesData[[#This Row],[Order Date]])</f>
        <v>2025</v>
      </c>
      <c r="L338" s="3">
        <f>SalesData[[#This Row],[Profit]]/SalesData[[#This Row],[Sales]]</f>
        <v>0.22471284575714956</v>
      </c>
    </row>
    <row r="339" spans="1:12">
      <c r="A339" t="s">
        <v>654</v>
      </c>
      <c r="B339" s="2">
        <v>45903</v>
      </c>
      <c r="C339" t="s">
        <v>655</v>
      </c>
      <c r="D339" t="s">
        <v>14</v>
      </c>
      <c r="E339" t="s">
        <v>24</v>
      </c>
      <c r="F339" t="s">
        <v>88</v>
      </c>
      <c r="G339">
        <v>464.16</v>
      </c>
      <c r="H339">
        <v>120.42</v>
      </c>
      <c r="I339">
        <v>2</v>
      </c>
      <c r="J339" t="str">
        <f>TEXT(SalesData[[#This Row],[Order Date]],"mmm")</f>
        <v>Sep</v>
      </c>
      <c r="K339">
        <f>YEAR(SalesData[[#This Row],[Order Date]])</f>
        <v>2025</v>
      </c>
      <c r="L339" s="3">
        <f>SalesData[[#This Row],[Profit]]/SalesData[[#This Row],[Sales]]</f>
        <v>0.25943640124095141</v>
      </c>
    </row>
    <row r="340" spans="1:12">
      <c r="A340" t="s">
        <v>656</v>
      </c>
      <c r="B340" s="2">
        <v>45936</v>
      </c>
      <c r="C340" t="s">
        <v>657</v>
      </c>
      <c r="D340" t="s">
        <v>28</v>
      </c>
      <c r="E340" t="s">
        <v>41</v>
      </c>
      <c r="F340" t="s">
        <v>58</v>
      </c>
      <c r="G340">
        <v>590.08000000000004</v>
      </c>
      <c r="H340">
        <v>130.51</v>
      </c>
      <c r="I340">
        <v>4</v>
      </c>
      <c r="J340" t="str">
        <f>TEXT(SalesData[[#This Row],[Order Date]],"mmm")</f>
        <v>Oct</v>
      </c>
      <c r="K340">
        <f>YEAR(SalesData[[#This Row],[Order Date]])</f>
        <v>2025</v>
      </c>
      <c r="L340" s="3">
        <f>SalesData[[#This Row],[Profit]]/SalesData[[#This Row],[Sales]]</f>
        <v>0.2211734002169197</v>
      </c>
    </row>
    <row r="341" spans="1:12">
      <c r="A341" t="s">
        <v>658</v>
      </c>
      <c r="B341" s="2">
        <v>45915</v>
      </c>
      <c r="C341" t="s">
        <v>538</v>
      </c>
      <c r="D341" t="s">
        <v>14</v>
      </c>
      <c r="E341" t="s">
        <v>15</v>
      </c>
      <c r="F341" t="s">
        <v>29</v>
      </c>
      <c r="G341">
        <v>52.4</v>
      </c>
      <c r="H341">
        <v>9.66</v>
      </c>
      <c r="I341">
        <v>5</v>
      </c>
      <c r="J341" t="str">
        <f>TEXT(SalesData[[#This Row],[Order Date]],"mmm")</f>
        <v>Sep</v>
      </c>
      <c r="K341">
        <f>YEAR(SalesData[[#This Row],[Order Date]])</f>
        <v>2025</v>
      </c>
      <c r="L341" s="3">
        <f>SalesData[[#This Row],[Profit]]/SalesData[[#This Row],[Sales]]</f>
        <v>0.18435114503816794</v>
      </c>
    </row>
    <row r="342" spans="1:12">
      <c r="A342" t="s">
        <v>659</v>
      </c>
      <c r="B342" s="2">
        <v>45687</v>
      </c>
      <c r="C342" t="s">
        <v>446</v>
      </c>
      <c r="D342" t="s">
        <v>23</v>
      </c>
      <c r="E342" t="s">
        <v>24</v>
      </c>
      <c r="F342" t="s">
        <v>55</v>
      </c>
      <c r="G342">
        <v>682.82</v>
      </c>
      <c r="H342">
        <v>81.96</v>
      </c>
      <c r="I342">
        <v>2</v>
      </c>
      <c r="J342" t="str">
        <f>TEXT(SalesData[[#This Row],[Order Date]],"mmm")</f>
        <v>Jan</v>
      </c>
      <c r="K342">
        <f>YEAR(SalesData[[#This Row],[Order Date]])</f>
        <v>2025</v>
      </c>
      <c r="L342" s="3">
        <f>SalesData[[#This Row],[Profit]]/SalesData[[#This Row],[Sales]]</f>
        <v>0.12003163351981487</v>
      </c>
    </row>
    <row r="343" spans="1:12">
      <c r="A343" t="s">
        <v>660</v>
      </c>
      <c r="B343" s="2">
        <v>45794</v>
      </c>
      <c r="C343" t="s">
        <v>661</v>
      </c>
      <c r="D343" t="s">
        <v>19</v>
      </c>
      <c r="E343" t="s">
        <v>33</v>
      </c>
      <c r="F343" t="s">
        <v>63</v>
      </c>
      <c r="G343">
        <v>2532.84</v>
      </c>
      <c r="H343">
        <v>629.57000000000005</v>
      </c>
      <c r="I343">
        <v>3</v>
      </c>
      <c r="J343" t="str">
        <f>TEXT(SalesData[[#This Row],[Order Date]],"mmm")</f>
        <v>May</v>
      </c>
      <c r="K343">
        <f>YEAR(SalesData[[#This Row],[Order Date]])</f>
        <v>2025</v>
      </c>
      <c r="L343" s="3">
        <f>SalesData[[#This Row],[Profit]]/SalesData[[#This Row],[Sales]]</f>
        <v>0.24856287803414351</v>
      </c>
    </row>
    <row r="344" spans="1:12">
      <c r="A344" t="s">
        <v>662</v>
      </c>
      <c r="B344" s="2">
        <v>45779</v>
      </c>
      <c r="C344" t="s">
        <v>663</v>
      </c>
      <c r="D344" t="s">
        <v>14</v>
      </c>
      <c r="E344" t="s">
        <v>37</v>
      </c>
      <c r="F344" t="s">
        <v>38</v>
      </c>
      <c r="G344">
        <v>261.18</v>
      </c>
      <c r="H344">
        <v>63.24</v>
      </c>
      <c r="I344">
        <v>6</v>
      </c>
      <c r="J344" t="str">
        <f>TEXT(SalesData[[#This Row],[Order Date]],"mmm")</f>
        <v>May</v>
      </c>
      <c r="K344">
        <f>YEAR(SalesData[[#This Row],[Order Date]])</f>
        <v>2025</v>
      </c>
      <c r="L344" s="3">
        <f>SalesData[[#This Row],[Profit]]/SalesData[[#This Row],[Sales]]</f>
        <v>0.2421318630829313</v>
      </c>
    </row>
    <row r="345" spans="1:12">
      <c r="A345" t="s">
        <v>664</v>
      </c>
      <c r="B345" s="2">
        <v>45946</v>
      </c>
      <c r="C345" t="s">
        <v>189</v>
      </c>
      <c r="D345" t="s">
        <v>23</v>
      </c>
      <c r="E345" t="s">
        <v>24</v>
      </c>
      <c r="F345" t="s">
        <v>88</v>
      </c>
      <c r="G345">
        <v>49.78</v>
      </c>
      <c r="H345">
        <v>7.29</v>
      </c>
      <c r="I345">
        <v>1</v>
      </c>
      <c r="J345" t="str">
        <f>TEXT(SalesData[[#This Row],[Order Date]],"mmm")</f>
        <v>Oct</v>
      </c>
      <c r="K345">
        <f>YEAR(SalesData[[#This Row],[Order Date]])</f>
        <v>2025</v>
      </c>
      <c r="L345" s="3">
        <f>SalesData[[#This Row],[Profit]]/SalesData[[#This Row],[Sales]]</f>
        <v>0.14644435516271595</v>
      </c>
    </row>
    <row r="346" spans="1:12">
      <c r="A346" t="s">
        <v>665</v>
      </c>
      <c r="B346" s="2">
        <v>45927</v>
      </c>
      <c r="C346" t="s">
        <v>666</v>
      </c>
      <c r="D346" t="s">
        <v>14</v>
      </c>
      <c r="E346" t="s">
        <v>37</v>
      </c>
      <c r="F346" t="s">
        <v>85</v>
      </c>
      <c r="G346">
        <v>47.48</v>
      </c>
      <c r="H346">
        <v>6.01</v>
      </c>
      <c r="I346">
        <v>2</v>
      </c>
      <c r="J346" t="str">
        <f>TEXT(SalesData[[#This Row],[Order Date]],"mmm")</f>
        <v>Sep</v>
      </c>
      <c r="K346">
        <f>YEAR(SalesData[[#This Row],[Order Date]])</f>
        <v>2025</v>
      </c>
      <c r="L346" s="3">
        <f>SalesData[[#This Row],[Profit]]/SalesData[[#This Row],[Sales]]</f>
        <v>0.12657961246840777</v>
      </c>
    </row>
    <row r="347" spans="1:12">
      <c r="A347" t="s">
        <v>667</v>
      </c>
      <c r="B347" s="2">
        <v>45823</v>
      </c>
      <c r="C347" t="s">
        <v>668</v>
      </c>
      <c r="D347" t="s">
        <v>19</v>
      </c>
      <c r="E347" t="s">
        <v>33</v>
      </c>
      <c r="F347" t="s">
        <v>170</v>
      </c>
      <c r="G347">
        <v>767.97</v>
      </c>
      <c r="H347">
        <v>173.8</v>
      </c>
      <c r="I347">
        <v>1</v>
      </c>
      <c r="J347" t="str">
        <f>TEXT(SalesData[[#This Row],[Order Date]],"mmm")</f>
        <v>Jun</v>
      </c>
      <c r="K347">
        <f>YEAR(SalesData[[#This Row],[Order Date]])</f>
        <v>2025</v>
      </c>
      <c r="L347" s="3">
        <f>SalesData[[#This Row],[Profit]]/SalesData[[#This Row],[Sales]]</f>
        <v>0.2263109236037866</v>
      </c>
    </row>
    <row r="348" spans="1:12">
      <c r="A348" t="s">
        <v>669</v>
      </c>
      <c r="B348" s="2">
        <v>45849</v>
      </c>
      <c r="C348" t="s">
        <v>670</v>
      </c>
      <c r="D348" t="s">
        <v>23</v>
      </c>
      <c r="E348" t="s">
        <v>15</v>
      </c>
      <c r="F348" t="s">
        <v>29</v>
      </c>
      <c r="G348">
        <v>25.23</v>
      </c>
      <c r="H348">
        <v>1.86</v>
      </c>
      <c r="I348">
        <v>3</v>
      </c>
      <c r="J348" t="str">
        <f>TEXT(SalesData[[#This Row],[Order Date]],"mmm")</f>
        <v>Jul</v>
      </c>
      <c r="K348">
        <f>YEAR(SalesData[[#This Row],[Order Date]])</f>
        <v>2025</v>
      </c>
      <c r="L348" s="3">
        <f>SalesData[[#This Row],[Profit]]/SalesData[[#This Row],[Sales]]</f>
        <v>7.3721759809750306E-2</v>
      </c>
    </row>
    <row r="349" spans="1:12">
      <c r="A349" t="s">
        <v>671</v>
      </c>
      <c r="B349" s="2">
        <v>45985</v>
      </c>
      <c r="C349" t="s">
        <v>452</v>
      </c>
      <c r="D349" t="s">
        <v>19</v>
      </c>
      <c r="E349" t="s">
        <v>41</v>
      </c>
      <c r="F349" t="s">
        <v>68</v>
      </c>
      <c r="G349">
        <v>1734.78</v>
      </c>
      <c r="H349">
        <v>328.23</v>
      </c>
      <c r="I349">
        <v>6</v>
      </c>
      <c r="J349" t="str">
        <f>TEXT(SalesData[[#This Row],[Order Date]],"mmm")</f>
        <v>Nov</v>
      </c>
      <c r="K349">
        <f>YEAR(SalesData[[#This Row],[Order Date]])</f>
        <v>2025</v>
      </c>
      <c r="L349" s="3">
        <f>SalesData[[#This Row],[Profit]]/SalesData[[#This Row],[Sales]]</f>
        <v>0.18920554767751532</v>
      </c>
    </row>
    <row r="350" spans="1:12">
      <c r="A350" t="s">
        <v>672</v>
      </c>
      <c r="B350" s="2">
        <v>45747</v>
      </c>
      <c r="C350" t="s">
        <v>673</v>
      </c>
      <c r="D350" t="s">
        <v>14</v>
      </c>
      <c r="E350" t="s">
        <v>15</v>
      </c>
      <c r="F350" t="s">
        <v>82</v>
      </c>
      <c r="G350">
        <v>172.32</v>
      </c>
      <c r="H350">
        <v>18.739999999999998</v>
      </c>
      <c r="I350">
        <v>6</v>
      </c>
      <c r="J350" t="str">
        <f>TEXT(SalesData[[#This Row],[Order Date]],"mmm")</f>
        <v>Mar</v>
      </c>
      <c r="K350">
        <f>YEAR(SalesData[[#This Row],[Order Date]])</f>
        <v>2025</v>
      </c>
      <c r="L350" s="3">
        <f>SalesData[[#This Row],[Profit]]/SalesData[[#This Row],[Sales]]</f>
        <v>0.10875116063138347</v>
      </c>
    </row>
    <row r="351" spans="1:12">
      <c r="A351" t="s">
        <v>674</v>
      </c>
      <c r="B351" s="2">
        <v>45948</v>
      </c>
      <c r="C351" t="s">
        <v>675</v>
      </c>
      <c r="D351" t="s">
        <v>23</v>
      </c>
      <c r="E351" t="s">
        <v>24</v>
      </c>
      <c r="F351" t="s">
        <v>55</v>
      </c>
      <c r="G351">
        <v>462.16</v>
      </c>
      <c r="H351">
        <v>55.84</v>
      </c>
      <c r="I351">
        <v>2</v>
      </c>
      <c r="J351" t="str">
        <f>TEXT(SalesData[[#This Row],[Order Date]],"mmm")</f>
        <v>Oct</v>
      </c>
      <c r="K351">
        <f>YEAR(SalesData[[#This Row],[Order Date]])</f>
        <v>2025</v>
      </c>
      <c r="L351" s="3">
        <f>SalesData[[#This Row],[Profit]]/SalesData[[#This Row],[Sales]]</f>
        <v>0.1208239570711442</v>
      </c>
    </row>
    <row r="352" spans="1:12">
      <c r="A352" t="s">
        <v>676</v>
      </c>
      <c r="B352" s="2">
        <v>45827</v>
      </c>
      <c r="C352" t="s">
        <v>240</v>
      </c>
      <c r="D352" t="s">
        <v>19</v>
      </c>
      <c r="E352" t="s">
        <v>24</v>
      </c>
      <c r="F352" t="s">
        <v>97</v>
      </c>
      <c r="G352">
        <v>459.88</v>
      </c>
      <c r="H352">
        <v>134.57</v>
      </c>
      <c r="I352">
        <v>2</v>
      </c>
      <c r="J352" t="str">
        <f>TEXT(SalesData[[#This Row],[Order Date]],"mmm")</f>
        <v>Jun</v>
      </c>
      <c r="K352">
        <f>YEAR(SalesData[[#This Row],[Order Date]])</f>
        <v>2025</v>
      </c>
      <c r="L352" s="3">
        <f>SalesData[[#This Row],[Profit]]/SalesData[[#This Row],[Sales]]</f>
        <v>0.29261981386448638</v>
      </c>
    </row>
    <row r="353" spans="1:12">
      <c r="A353" t="s">
        <v>677</v>
      </c>
      <c r="B353" s="2">
        <v>46001</v>
      </c>
      <c r="C353" t="s">
        <v>133</v>
      </c>
      <c r="D353" t="s">
        <v>28</v>
      </c>
      <c r="E353" t="s">
        <v>15</v>
      </c>
      <c r="F353" t="s">
        <v>16</v>
      </c>
      <c r="G353">
        <v>53.82</v>
      </c>
      <c r="H353">
        <v>9.0399999999999991</v>
      </c>
      <c r="I353">
        <v>2</v>
      </c>
      <c r="J353" t="str">
        <f>TEXT(SalesData[[#This Row],[Order Date]],"mmm")</f>
        <v>Dec</v>
      </c>
      <c r="K353">
        <f>YEAR(SalesData[[#This Row],[Order Date]])</f>
        <v>2025</v>
      </c>
      <c r="L353" s="3">
        <f>SalesData[[#This Row],[Profit]]/SalesData[[#This Row],[Sales]]</f>
        <v>0.16796729840208099</v>
      </c>
    </row>
    <row r="354" spans="1:12">
      <c r="A354" t="s">
        <v>678</v>
      </c>
      <c r="B354" s="2">
        <v>45682</v>
      </c>
      <c r="C354" t="s">
        <v>230</v>
      </c>
      <c r="D354" t="s">
        <v>28</v>
      </c>
      <c r="E354" t="s">
        <v>37</v>
      </c>
      <c r="F354" t="s">
        <v>155</v>
      </c>
      <c r="G354">
        <v>214</v>
      </c>
      <c r="H354">
        <v>32.67</v>
      </c>
      <c r="I354">
        <v>4</v>
      </c>
      <c r="J354" t="str">
        <f>TEXT(SalesData[[#This Row],[Order Date]],"mmm")</f>
        <v>Jan</v>
      </c>
      <c r="K354">
        <f>YEAR(SalesData[[#This Row],[Order Date]])</f>
        <v>2025</v>
      </c>
      <c r="L354" s="3">
        <f>SalesData[[#This Row],[Profit]]/SalesData[[#This Row],[Sales]]</f>
        <v>0.15266355140186916</v>
      </c>
    </row>
    <row r="355" spans="1:12">
      <c r="A355" t="s">
        <v>679</v>
      </c>
      <c r="B355" s="2">
        <v>45903</v>
      </c>
      <c r="C355" t="s">
        <v>172</v>
      </c>
      <c r="D355" t="s">
        <v>19</v>
      </c>
      <c r="E355" t="s">
        <v>15</v>
      </c>
      <c r="F355" t="s">
        <v>82</v>
      </c>
      <c r="G355">
        <v>12.37</v>
      </c>
      <c r="H355">
        <v>1.21</v>
      </c>
      <c r="I355">
        <v>1</v>
      </c>
      <c r="J355" t="str">
        <f>TEXT(SalesData[[#This Row],[Order Date]],"mmm")</f>
        <v>Sep</v>
      </c>
      <c r="K355">
        <f>YEAR(SalesData[[#This Row],[Order Date]])</f>
        <v>2025</v>
      </c>
      <c r="L355" s="3">
        <f>SalesData[[#This Row],[Profit]]/SalesData[[#This Row],[Sales]]</f>
        <v>9.7817299919159259E-2</v>
      </c>
    </row>
    <row r="356" spans="1:12">
      <c r="A356" t="s">
        <v>680</v>
      </c>
      <c r="B356" s="2">
        <v>45695</v>
      </c>
      <c r="C356" t="s">
        <v>316</v>
      </c>
      <c r="D356" t="s">
        <v>28</v>
      </c>
      <c r="E356" t="s">
        <v>15</v>
      </c>
      <c r="F356" t="s">
        <v>82</v>
      </c>
      <c r="G356">
        <v>142.75</v>
      </c>
      <c r="H356">
        <v>28.08</v>
      </c>
      <c r="I356">
        <v>5</v>
      </c>
      <c r="J356" t="str">
        <f>TEXT(SalesData[[#This Row],[Order Date]],"mmm")</f>
        <v>Feb</v>
      </c>
      <c r="K356">
        <f>YEAR(SalesData[[#This Row],[Order Date]])</f>
        <v>2025</v>
      </c>
      <c r="L356" s="3">
        <f>SalesData[[#This Row],[Profit]]/SalesData[[#This Row],[Sales]]</f>
        <v>0.19670753064798599</v>
      </c>
    </row>
    <row r="357" spans="1:12">
      <c r="A357" t="s">
        <v>681</v>
      </c>
      <c r="B357" s="2">
        <v>45972</v>
      </c>
      <c r="C357" t="s">
        <v>682</v>
      </c>
      <c r="D357" t="s">
        <v>32</v>
      </c>
      <c r="E357" t="s">
        <v>24</v>
      </c>
      <c r="F357" t="s">
        <v>134</v>
      </c>
      <c r="G357">
        <v>1798.82</v>
      </c>
      <c r="H357">
        <v>216.31</v>
      </c>
      <c r="I357">
        <v>5</v>
      </c>
      <c r="J357" t="str">
        <f>TEXT(SalesData[[#This Row],[Order Date]],"mmm")</f>
        <v>Nov</v>
      </c>
      <c r="K357">
        <f>YEAR(SalesData[[#This Row],[Order Date]])</f>
        <v>2025</v>
      </c>
      <c r="L357" s="3">
        <f>SalesData[[#This Row],[Profit]]/SalesData[[#This Row],[Sales]]</f>
        <v>0.12025105346838484</v>
      </c>
    </row>
    <row r="358" spans="1:12">
      <c r="A358" t="s">
        <v>683</v>
      </c>
      <c r="B358" s="2">
        <v>45755</v>
      </c>
      <c r="C358" t="s">
        <v>472</v>
      </c>
      <c r="D358" t="s">
        <v>23</v>
      </c>
      <c r="E358" t="s">
        <v>24</v>
      </c>
      <c r="F358" t="s">
        <v>97</v>
      </c>
      <c r="G358">
        <v>295.17</v>
      </c>
      <c r="H358">
        <v>32.450000000000003</v>
      </c>
      <c r="I358">
        <v>3</v>
      </c>
      <c r="J358" t="str">
        <f>TEXT(SalesData[[#This Row],[Order Date]],"mmm")</f>
        <v>Apr</v>
      </c>
      <c r="K358">
        <f>YEAR(SalesData[[#This Row],[Order Date]])</f>
        <v>2025</v>
      </c>
      <c r="L358" s="3">
        <f>SalesData[[#This Row],[Profit]]/SalesData[[#This Row],[Sales]]</f>
        <v>0.10993664667818545</v>
      </c>
    </row>
    <row r="359" spans="1:12">
      <c r="A359" t="s">
        <v>684</v>
      </c>
      <c r="B359" s="2">
        <v>45909</v>
      </c>
      <c r="C359" t="s">
        <v>331</v>
      </c>
      <c r="D359" t="s">
        <v>14</v>
      </c>
      <c r="E359" t="s">
        <v>15</v>
      </c>
      <c r="F359" t="s">
        <v>82</v>
      </c>
      <c r="G359">
        <v>76.8</v>
      </c>
      <c r="H359">
        <v>11.04</v>
      </c>
      <c r="I359">
        <v>3</v>
      </c>
      <c r="J359" t="str">
        <f>TEXT(SalesData[[#This Row],[Order Date]],"mmm")</f>
        <v>Sep</v>
      </c>
      <c r="K359">
        <f>YEAR(SalesData[[#This Row],[Order Date]])</f>
        <v>2025</v>
      </c>
      <c r="L359" s="3">
        <f>SalesData[[#This Row],[Profit]]/SalesData[[#This Row],[Sales]]</f>
        <v>0.14374999999999999</v>
      </c>
    </row>
    <row r="360" spans="1:12">
      <c r="A360" t="s">
        <v>685</v>
      </c>
      <c r="B360" s="2">
        <v>45707</v>
      </c>
      <c r="C360" t="s">
        <v>516</v>
      </c>
      <c r="D360" t="s">
        <v>19</v>
      </c>
      <c r="E360" t="s">
        <v>41</v>
      </c>
      <c r="F360" t="s">
        <v>42</v>
      </c>
      <c r="G360">
        <v>859.4</v>
      </c>
      <c r="H360">
        <v>152.19</v>
      </c>
      <c r="I360">
        <v>4</v>
      </c>
      <c r="J360" t="str">
        <f>TEXT(SalesData[[#This Row],[Order Date]],"mmm")</f>
        <v>Feb</v>
      </c>
      <c r="K360">
        <f>YEAR(SalesData[[#This Row],[Order Date]])</f>
        <v>2025</v>
      </c>
      <c r="L360" s="3">
        <f>SalesData[[#This Row],[Profit]]/SalesData[[#This Row],[Sales]]</f>
        <v>0.17708866651151967</v>
      </c>
    </row>
    <row r="361" spans="1:12">
      <c r="A361" t="s">
        <v>686</v>
      </c>
      <c r="B361" s="2">
        <v>45908</v>
      </c>
      <c r="C361" t="s">
        <v>181</v>
      </c>
      <c r="D361" t="s">
        <v>32</v>
      </c>
      <c r="E361" t="s">
        <v>41</v>
      </c>
      <c r="F361" t="s">
        <v>71</v>
      </c>
      <c r="G361">
        <v>216.96</v>
      </c>
      <c r="H361">
        <v>42.39</v>
      </c>
      <c r="I361">
        <v>2</v>
      </c>
      <c r="J361" t="str">
        <f>TEXT(SalesData[[#This Row],[Order Date]],"mmm")</f>
        <v>Sep</v>
      </c>
      <c r="K361">
        <f>YEAR(SalesData[[#This Row],[Order Date]])</f>
        <v>2025</v>
      </c>
      <c r="L361" s="3">
        <f>SalesData[[#This Row],[Profit]]/SalesData[[#This Row],[Sales]]</f>
        <v>0.19538163716814158</v>
      </c>
    </row>
    <row r="362" spans="1:12">
      <c r="A362" t="s">
        <v>687</v>
      </c>
      <c r="B362" s="2">
        <v>45680</v>
      </c>
      <c r="C362" t="s">
        <v>352</v>
      </c>
      <c r="D362" t="s">
        <v>28</v>
      </c>
      <c r="E362" t="s">
        <v>24</v>
      </c>
      <c r="F362" t="s">
        <v>97</v>
      </c>
      <c r="G362">
        <v>201.7</v>
      </c>
      <c r="H362">
        <v>50.52</v>
      </c>
      <c r="I362">
        <v>5</v>
      </c>
      <c r="J362" t="str">
        <f>TEXT(SalesData[[#This Row],[Order Date]],"mmm")</f>
        <v>Jan</v>
      </c>
      <c r="K362">
        <f>YEAR(SalesData[[#This Row],[Order Date]])</f>
        <v>2025</v>
      </c>
      <c r="L362" s="3">
        <f>SalesData[[#This Row],[Profit]]/SalesData[[#This Row],[Sales]]</f>
        <v>0.25047099652949928</v>
      </c>
    </row>
    <row r="363" spans="1:12">
      <c r="A363" t="s">
        <v>688</v>
      </c>
      <c r="B363" s="2">
        <v>45701</v>
      </c>
      <c r="C363" t="s">
        <v>389</v>
      </c>
      <c r="D363" t="s">
        <v>23</v>
      </c>
      <c r="E363" t="s">
        <v>24</v>
      </c>
      <c r="F363" t="s">
        <v>55</v>
      </c>
      <c r="G363">
        <v>405.38</v>
      </c>
      <c r="H363">
        <v>108.71</v>
      </c>
      <c r="I363">
        <v>2</v>
      </c>
      <c r="J363" t="str">
        <f>TEXT(SalesData[[#This Row],[Order Date]],"mmm")</f>
        <v>Feb</v>
      </c>
      <c r="K363">
        <f>YEAR(SalesData[[#This Row],[Order Date]])</f>
        <v>2025</v>
      </c>
      <c r="L363" s="3">
        <f>SalesData[[#This Row],[Profit]]/SalesData[[#This Row],[Sales]]</f>
        <v>0.26816813853668164</v>
      </c>
    </row>
    <row r="364" spans="1:12">
      <c r="A364" t="s">
        <v>689</v>
      </c>
      <c r="B364" s="2">
        <v>45872</v>
      </c>
      <c r="C364" t="s">
        <v>482</v>
      </c>
      <c r="D364" t="s">
        <v>23</v>
      </c>
      <c r="E364" t="s">
        <v>37</v>
      </c>
      <c r="F364" t="s">
        <v>155</v>
      </c>
      <c r="G364">
        <v>28.02</v>
      </c>
      <c r="H364">
        <v>6.6</v>
      </c>
      <c r="I364">
        <v>3</v>
      </c>
      <c r="J364" t="str">
        <f>TEXT(SalesData[[#This Row],[Order Date]],"mmm")</f>
        <v>Aug</v>
      </c>
      <c r="K364">
        <f>YEAR(SalesData[[#This Row],[Order Date]])</f>
        <v>2025</v>
      </c>
      <c r="L364" s="3">
        <f>SalesData[[#This Row],[Profit]]/SalesData[[#This Row],[Sales]]</f>
        <v>0.23554603854389722</v>
      </c>
    </row>
    <row r="365" spans="1:12">
      <c r="A365" t="s">
        <v>690</v>
      </c>
      <c r="B365" s="2">
        <v>45915</v>
      </c>
      <c r="C365" t="s">
        <v>691</v>
      </c>
      <c r="D365" t="s">
        <v>23</v>
      </c>
      <c r="E365" t="s">
        <v>41</v>
      </c>
      <c r="F365" t="s">
        <v>68</v>
      </c>
      <c r="G365">
        <v>104.12</v>
      </c>
      <c r="H365">
        <v>30.12</v>
      </c>
      <c r="I365">
        <v>2</v>
      </c>
      <c r="J365" t="str">
        <f>TEXT(SalesData[[#This Row],[Order Date]],"mmm")</f>
        <v>Sep</v>
      </c>
      <c r="K365">
        <f>YEAR(SalesData[[#This Row],[Order Date]])</f>
        <v>2025</v>
      </c>
      <c r="L365" s="3">
        <f>SalesData[[#This Row],[Profit]]/SalesData[[#This Row],[Sales]]</f>
        <v>0.28928159815597387</v>
      </c>
    </row>
    <row r="366" spans="1:12">
      <c r="A366" t="s">
        <v>692</v>
      </c>
      <c r="B366" s="2">
        <v>45743</v>
      </c>
      <c r="C366" t="s">
        <v>693</v>
      </c>
      <c r="D366" t="s">
        <v>19</v>
      </c>
      <c r="E366" t="s">
        <v>15</v>
      </c>
      <c r="F366" t="s">
        <v>82</v>
      </c>
      <c r="G366">
        <v>95.28</v>
      </c>
      <c r="H366">
        <v>19.02</v>
      </c>
      <c r="I366">
        <v>6</v>
      </c>
      <c r="J366" t="str">
        <f>TEXT(SalesData[[#This Row],[Order Date]],"mmm")</f>
        <v>Mar</v>
      </c>
      <c r="K366">
        <f>YEAR(SalesData[[#This Row],[Order Date]])</f>
        <v>2025</v>
      </c>
      <c r="L366" s="3">
        <f>SalesData[[#This Row],[Profit]]/SalesData[[#This Row],[Sales]]</f>
        <v>0.19962216624685139</v>
      </c>
    </row>
    <row r="367" spans="1:12">
      <c r="A367" t="s">
        <v>694</v>
      </c>
      <c r="B367" s="2">
        <v>45962</v>
      </c>
      <c r="C367" t="s">
        <v>695</v>
      </c>
      <c r="D367" t="s">
        <v>32</v>
      </c>
      <c r="E367" t="s">
        <v>15</v>
      </c>
      <c r="F367" t="s">
        <v>20</v>
      </c>
      <c r="G367">
        <v>102.05</v>
      </c>
      <c r="H367">
        <v>13.06</v>
      </c>
      <c r="I367">
        <v>4</v>
      </c>
      <c r="J367" t="str">
        <f>TEXT(SalesData[[#This Row],[Order Date]],"mmm")</f>
        <v>Nov</v>
      </c>
      <c r="K367">
        <f>YEAR(SalesData[[#This Row],[Order Date]])</f>
        <v>2025</v>
      </c>
      <c r="L367" s="3">
        <f>SalesData[[#This Row],[Profit]]/SalesData[[#This Row],[Sales]]</f>
        <v>0.1279764821166095</v>
      </c>
    </row>
    <row r="368" spans="1:12">
      <c r="A368" t="s">
        <v>696</v>
      </c>
      <c r="B368" s="2">
        <v>45664</v>
      </c>
      <c r="C368" t="s">
        <v>697</v>
      </c>
      <c r="D368" t="s">
        <v>23</v>
      </c>
      <c r="E368" t="s">
        <v>33</v>
      </c>
      <c r="F368" t="s">
        <v>63</v>
      </c>
      <c r="G368">
        <v>396.42</v>
      </c>
      <c r="H368">
        <v>41.7</v>
      </c>
      <c r="I368">
        <v>1</v>
      </c>
      <c r="J368" t="str">
        <f>TEXT(SalesData[[#This Row],[Order Date]],"mmm")</f>
        <v>Jan</v>
      </c>
      <c r="K368">
        <f>YEAR(SalesData[[#This Row],[Order Date]])</f>
        <v>2025</v>
      </c>
      <c r="L368" s="3">
        <f>SalesData[[#This Row],[Profit]]/SalesData[[#This Row],[Sales]]</f>
        <v>0.10519146359921296</v>
      </c>
    </row>
    <row r="369" spans="1:12">
      <c r="A369" t="s">
        <v>698</v>
      </c>
      <c r="B369" s="2">
        <v>45709</v>
      </c>
      <c r="C369" t="s">
        <v>699</v>
      </c>
      <c r="D369" t="s">
        <v>23</v>
      </c>
      <c r="E369" t="s">
        <v>41</v>
      </c>
      <c r="F369" t="s">
        <v>58</v>
      </c>
      <c r="G369">
        <v>1115.1500000000001</v>
      </c>
      <c r="H369">
        <v>356.26</v>
      </c>
      <c r="I369">
        <v>5</v>
      </c>
      <c r="J369" t="str">
        <f>TEXT(SalesData[[#This Row],[Order Date]],"mmm")</f>
        <v>Feb</v>
      </c>
      <c r="K369">
        <f>YEAR(SalesData[[#This Row],[Order Date]])</f>
        <v>2025</v>
      </c>
      <c r="L369" s="3">
        <f>SalesData[[#This Row],[Profit]]/SalesData[[#This Row],[Sales]]</f>
        <v>0.31947271667488675</v>
      </c>
    </row>
    <row r="370" spans="1:12">
      <c r="A370" t="s">
        <v>700</v>
      </c>
      <c r="B370" s="2">
        <v>45993</v>
      </c>
      <c r="C370" t="s">
        <v>701</v>
      </c>
      <c r="D370" t="s">
        <v>23</v>
      </c>
      <c r="E370" t="s">
        <v>33</v>
      </c>
      <c r="F370" t="s">
        <v>170</v>
      </c>
      <c r="G370">
        <v>1490.74</v>
      </c>
      <c r="H370">
        <v>291.79000000000002</v>
      </c>
      <c r="I370">
        <v>3</v>
      </c>
      <c r="J370" t="str">
        <f>TEXT(SalesData[[#This Row],[Order Date]],"mmm")</f>
        <v>Dec</v>
      </c>
      <c r="K370">
        <f>YEAR(SalesData[[#This Row],[Order Date]])</f>
        <v>2025</v>
      </c>
      <c r="L370" s="3">
        <f>SalesData[[#This Row],[Profit]]/SalesData[[#This Row],[Sales]]</f>
        <v>0.19573500409192751</v>
      </c>
    </row>
    <row r="371" spans="1:12">
      <c r="A371" t="s">
        <v>702</v>
      </c>
      <c r="B371" s="2">
        <v>45860</v>
      </c>
      <c r="C371" t="s">
        <v>703</v>
      </c>
      <c r="D371" t="s">
        <v>19</v>
      </c>
      <c r="E371" t="s">
        <v>15</v>
      </c>
      <c r="F371" t="s">
        <v>109</v>
      </c>
      <c r="G371">
        <v>82.29</v>
      </c>
      <c r="H371">
        <v>4.3600000000000003</v>
      </c>
      <c r="I371">
        <v>3</v>
      </c>
      <c r="J371" t="str">
        <f>TEXT(SalesData[[#This Row],[Order Date]],"mmm")</f>
        <v>Jul</v>
      </c>
      <c r="K371">
        <f>YEAR(SalesData[[#This Row],[Order Date]])</f>
        <v>2025</v>
      </c>
      <c r="L371" s="3">
        <f>SalesData[[#This Row],[Profit]]/SalesData[[#This Row],[Sales]]</f>
        <v>5.2983351561550616E-2</v>
      </c>
    </row>
    <row r="372" spans="1:12">
      <c r="A372" t="s">
        <v>704</v>
      </c>
      <c r="B372" s="2">
        <v>45813</v>
      </c>
      <c r="C372" t="s">
        <v>705</v>
      </c>
      <c r="D372" t="s">
        <v>28</v>
      </c>
      <c r="E372" t="s">
        <v>37</v>
      </c>
      <c r="F372" t="s">
        <v>38</v>
      </c>
      <c r="G372">
        <v>24.78</v>
      </c>
      <c r="H372">
        <v>6.1</v>
      </c>
      <c r="I372">
        <v>2</v>
      </c>
      <c r="J372" t="str">
        <f>TEXT(SalesData[[#This Row],[Order Date]],"mmm")</f>
        <v>Jun</v>
      </c>
      <c r="K372">
        <f>YEAR(SalesData[[#This Row],[Order Date]])</f>
        <v>2025</v>
      </c>
      <c r="L372" s="3">
        <f>SalesData[[#This Row],[Profit]]/SalesData[[#This Row],[Sales]]</f>
        <v>0.24616626311541565</v>
      </c>
    </row>
    <row r="373" spans="1:12">
      <c r="A373" t="s">
        <v>706</v>
      </c>
      <c r="B373" s="2">
        <v>45822</v>
      </c>
      <c r="C373" t="s">
        <v>707</v>
      </c>
      <c r="D373" t="s">
        <v>23</v>
      </c>
      <c r="E373" t="s">
        <v>41</v>
      </c>
      <c r="F373" t="s">
        <v>158</v>
      </c>
      <c r="G373">
        <v>290.24</v>
      </c>
      <c r="H373">
        <v>88.81</v>
      </c>
      <c r="I373">
        <v>4</v>
      </c>
      <c r="J373" t="str">
        <f>TEXT(SalesData[[#This Row],[Order Date]],"mmm")</f>
        <v>Jun</v>
      </c>
      <c r="K373">
        <f>YEAR(SalesData[[#This Row],[Order Date]])</f>
        <v>2025</v>
      </c>
      <c r="L373" s="3">
        <f>SalesData[[#This Row],[Profit]]/SalesData[[#This Row],[Sales]]</f>
        <v>0.30598814773980154</v>
      </c>
    </row>
    <row r="374" spans="1:12">
      <c r="A374" t="s">
        <v>708</v>
      </c>
      <c r="B374" s="2">
        <v>45922</v>
      </c>
      <c r="C374" t="s">
        <v>487</v>
      </c>
      <c r="D374" t="s">
        <v>32</v>
      </c>
      <c r="E374" t="s">
        <v>33</v>
      </c>
      <c r="F374" t="s">
        <v>170</v>
      </c>
      <c r="G374">
        <v>307.57</v>
      </c>
      <c r="H374">
        <v>51.1</v>
      </c>
      <c r="I374">
        <v>1</v>
      </c>
      <c r="J374" t="str">
        <f>TEXT(SalesData[[#This Row],[Order Date]],"mmm")</f>
        <v>Sep</v>
      </c>
      <c r="K374">
        <f>YEAR(SalesData[[#This Row],[Order Date]])</f>
        <v>2025</v>
      </c>
      <c r="L374" s="3">
        <f>SalesData[[#This Row],[Profit]]/SalesData[[#This Row],[Sales]]</f>
        <v>0.16614104106382288</v>
      </c>
    </row>
    <row r="375" spans="1:12">
      <c r="A375" t="s">
        <v>709</v>
      </c>
      <c r="B375" s="2">
        <v>45926</v>
      </c>
      <c r="C375" t="s">
        <v>514</v>
      </c>
      <c r="D375" t="s">
        <v>32</v>
      </c>
      <c r="E375" t="s">
        <v>15</v>
      </c>
      <c r="F375" t="s">
        <v>16</v>
      </c>
      <c r="G375">
        <v>11.24</v>
      </c>
      <c r="H375">
        <v>1.33</v>
      </c>
      <c r="I375">
        <v>1</v>
      </c>
      <c r="J375" t="str">
        <f>TEXT(SalesData[[#This Row],[Order Date]],"mmm")</f>
        <v>Sep</v>
      </c>
      <c r="K375">
        <f>YEAR(SalesData[[#This Row],[Order Date]])</f>
        <v>2025</v>
      </c>
      <c r="L375" s="3">
        <f>SalesData[[#This Row],[Profit]]/SalesData[[#This Row],[Sales]]</f>
        <v>0.11832740213523132</v>
      </c>
    </row>
    <row r="376" spans="1:12">
      <c r="A376" t="s">
        <v>710</v>
      </c>
      <c r="B376" s="2">
        <v>46018</v>
      </c>
      <c r="C376" t="s">
        <v>557</v>
      </c>
      <c r="D376" t="s">
        <v>14</v>
      </c>
      <c r="E376" t="s">
        <v>41</v>
      </c>
      <c r="F376" t="s">
        <v>68</v>
      </c>
      <c r="G376">
        <v>764.04</v>
      </c>
      <c r="H376">
        <v>82.24</v>
      </c>
      <c r="I376">
        <v>4</v>
      </c>
      <c r="J376" t="str">
        <f>TEXT(SalesData[[#This Row],[Order Date]],"mmm")</f>
        <v>Dec</v>
      </c>
      <c r="K376">
        <f>YEAR(SalesData[[#This Row],[Order Date]])</f>
        <v>2025</v>
      </c>
      <c r="L376" s="3">
        <f>SalesData[[#This Row],[Profit]]/SalesData[[#This Row],[Sales]]</f>
        <v>0.10763834354222292</v>
      </c>
    </row>
    <row r="377" spans="1:12">
      <c r="A377" t="s">
        <v>711</v>
      </c>
      <c r="B377" s="2">
        <v>45962</v>
      </c>
      <c r="C377" t="s">
        <v>712</v>
      </c>
      <c r="D377" t="s">
        <v>28</v>
      </c>
      <c r="E377" t="s">
        <v>33</v>
      </c>
      <c r="F377" t="s">
        <v>308</v>
      </c>
      <c r="G377">
        <v>741.45</v>
      </c>
      <c r="H377">
        <v>153.72</v>
      </c>
      <c r="I377">
        <v>3</v>
      </c>
      <c r="J377" t="str">
        <f>TEXT(SalesData[[#This Row],[Order Date]],"mmm")</f>
        <v>Nov</v>
      </c>
      <c r="K377">
        <f>YEAR(SalesData[[#This Row],[Order Date]])</f>
        <v>2025</v>
      </c>
      <c r="L377" s="3">
        <f>SalesData[[#This Row],[Profit]]/SalesData[[#This Row],[Sales]]</f>
        <v>0.20732348776046933</v>
      </c>
    </row>
    <row r="378" spans="1:12">
      <c r="A378" t="s">
        <v>713</v>
      </c>
      <c r="B378" s="2">
        <v>45803</v>
      </c>
      <c r="C378" t="s">
        <v>714</v>
      </c>
      <c r="D378" t="s">
        <v>32</v>
      </c>
      <c r="E378" t="s">
        <v>15</v>
      </c>
      <c r="F378" t="s">
        <v>20</v>
      </c>
      <c r="G378">
        <v>52.86</v>
      </c>
      <c r="H378">
        <v>7.78</v>
      </c>
      <c r="I378">
        <v>2</v>
      </c>
      <c r="J378" t="str">
        <f>TEXT(SalesData[[#This Row],[Order Date]],"mmm")</f>
        <v>May</v>
      </c>
      <c r="K378">
        <f>YEAR(SalesData[[#This Row],[Order Date]])</f>
        <v>2025</v>
      </c>
      <c r="L378" s="3">
        <f>SalesData[[#This Row],[Profit]]/SalesData[[#This Row],[Sales]]</f>
        <v>0.14718123344684073</v>
      </c>
    </row>
    <row r="379" spans="1:12">
      <c r="A379" t="s">
        <v>715</v>
      </c>
      <c r="B379" s="2">
        <v>45795</v>
      </c>
      <c r="C379" t="s">
        <v>160</v>
      </c>
      <c r="D379" t="s">
        <v>23</v>
      </c>
      <c r="E379" t="s">
        <v>15</v>
      </c>
      <c r="F379" t="s">
        <v>82</v>
      </c>
      <c r="G379">
        <v>111.16</v>
      </c>
      <c r="H379">
        <v>16.350000000000001</v>
      </c>
      <c r="I379">
        <v>4</v>
      </c>
      <c r="J379" t="str">
        <f>TEXT(SalesData[[#This Row],[Order Date]],"mmm")</f>
        <v>May</v>
      </c>
      <c r="K379">
        <f>YEAR(SalesData[[#This Row],[Order Date]])</f>
        <v>2025</v>
      </c>
      <c r="L379" s="3">
        <f>SalesData[[#This Row],[Profit]]/SalesData[[#This Row],[Sales]]</f>
        <v>0.1470852824757107</v>
      </c>
    </row>
    <row r="380" spans="1:12">
      <c r="A380" t="s">
        <v>716</v>
      </c>
      <c r="B380" s="2">
        <v>45662</v>
      </c>
      <c r="C380" t="s">
        <v>148</v>
      </c>
      <c r="D380" t="s">
        <v>23</v>
      </c>
      <c r="E380" t="s">
        <v>41</v>
      </c>
      <c r="F380" t="s">
        <v>58</v>
      </c>
      <c r="G380">
        <v>1455.48</v>
      </c>
      <c r="H380">
        <v>379.42</v>
      </c>
      <c r="I380">
        <v>6</v>
      </c>
      <c r="J380" t="str">
        <f>TEXT(SalesData[[#This Row],[Order Date]],"mmm")</f>
        <v>Jan</v>
      </c>
      <c r="K380">
        <f>YEAR(SalesData[[#This Row],[Order Date]])</f>
        <v>2025</v>
      </c>
      <c r="L380" s="3">
        <f>SalesData[[#This Row],[Profit]]/SalesData[[#This Row],[Sales]]</f>
        <v>0.2606837606837607</v>
      </c>
    </row>
    <row r="381" spans="1:12">
      <c r="A381" t="s">
        <v>717</v>
      </c>
      <c r="B381" s="2">
        <v>45850</v>
      </c>
      <c r="C381" t="s">
        <v>487</v>
      </c>
      <c r="D381" t="s">
        <v>28</v>
      </c>
      <c r="E381" t="s">
        <v>24</v>
      </c>
      <c r="F381" t="s">
        <v>88</v>
      </c>
      <c r="G381">
        <v>730.41</v>
      </c>
      <c r="H381">
        <v>193.46</v>
      </c>
      <c r="I381">
        <v>3</v>
      </c>
      <c r="J381" t="str">
        <f>TEXT(SalesData[[#This Row],[Order Date]],"mmm")</f>
        <v>Jul</v>
      </c>
      <c r="K381">
        <f>YEAR(SalesData[[#This Row],[Order Date]])</f>
        <v>2025</v>
      </c>
      <c r="L381" s="3">
        <f>SalesData[[#This Row],[Profit]]/SalesData[[#This Row],[Sales]]</f>
        <v>0.26486493886994977</v>
      </c>
    </row>
    <row r="382" spans="1:12">
      <c r="A382" t="s">
        <v>718</v>
      </c>
      <c r="B382" s="2">
        <v>45710</v>
      </c>
      <c r="C382" t="s">
        <v>719</v>
      </c>
      <c r="D382" t="s">
        <v>14</v>
      </c>
      <c r="E382" t="s">
        <v>33</v>
      </c>
      <c r="F382" t="s">
        <v>34</v>
      </c>
      <c r="G382">
        <v>1415.5</v>
      </c>
      <c r="H382">
        <v>277.93</v>
      </c>
      <c r="I382">
        <v>5</v>
      </c>
      <c r="J382" t="str">
        <f>TEXT(SalesData[[#This Row],[Order Date]],"mmm")</f>
        <v>Feb</v>
      </c>
      <c r="K382">
        <f>YEAR(SalesData[[#This Row],[Order Date]])</f>
        <v>2025</v>
      </c>
      <c r="L382" s="3">
        <f>SalesData[[#This Row],[Profit]]/SalesData[[#This Row],[Sales]]</f>
        <v>0.19634758036029673</v>
      </c>
    </row>
    <row r="383" spans="1:12">
      <c r="A383" t="s">
        <v>720</v>
      </c>
      <c r="B383" s="2">
        <v>45830</v>
      </c>
      <c r="C383" t="s">
        <v>695</v>
      </c>
      <c r="D383" t="s">
        <v>14</v>
      </c>
      <c r="E383" t="s">
        <v>24</v>
      </c>
      <c r="F383" t="s">
        <v>97</v>
      </c>
      <c r="G383">
        <v>138.96</v>
      </c>
      <c r="H383">
        <v>35.17</v>
      </c>
      <c r="I383">
        <v>2</v>
      </c>
      <c r="J383" t="str">
        <f>TEXT(SalesData[[#This Row],[Order Date]],"mmm")</f>
        <v>Jun</v>
      </c>
      <c r="K383">
        <f>YEAR(SalesData[[#This Row],[Order Date]])</f>
        <v>2025</v>
      </c>
      <c r="L383" s="3">
        <f>SalesData[[#This Row],[Profit]]/SalesData[[#This Row],[Sales]]</f>
        <v>0.2530944156591825</v>
      </c>
    </row>
    <row r="384" spans="1:12">
      <c r="A384" t="s">
        <v>721</v>
      </c>
      <c r="B384" s="2">
        <v>45965</v>
      </c>
      <c r="C384" t="s">
        <v>238</v>
      </c>
      <c r="D384" t="s">
        <v>19</v>
      </c>
      <c r="E384" t="s">
        <v>41</v>
      </c>
      <c r="F384" t="s">
        <v>71</v>
      </c>
      <c r="G384">
        <v>306.52999999999997</v>
      </c>
      <c r="H384">
        <v>60.41</v>
      </c>
      <c r="I384">
        <v>3</v>
      </c>
      <c r="J384" t="str">
        <f>TEXT(SalesData[[#This Row],[Order Date]],"mmm")</f>
        <v>Nov</v>
      </c>
      <c r="K384">
        <f>YEAR(SalesData[[#This Row],[Order Date]])</f>
        <v>2025</v>
      </c>
      <c r="L384" s="3">
        <f>SalesData[[#This Row],[Profit]]/SalesData[[#This Row],[Sales]]</f>
        <v>0.19707695820963692</v>
      </c>
    </row>
    <row r="385" spans="1:12">
      <c r="A385" t="s">
        <v>722</v>
      </c>
      <c r="B385" s="2">
        <v>46020</v>
      </c>
      <c r="C385" t="s">
        <v>723</v>
      </c>
      <c r="D385" t="s">
        <v>14</v>
      </c>
      <c r="E385" t="s">
        <v>41</v>
      </c>
      <c r="F385" t="s">
        <v>158</v>
      </c>
      <c r="G385">
        <v>1164.18</v>
      </c>
      <c r="H385">
        <v>380.26</v>
      </c>
      <c r="I385">
        <v>6</v>
      </c>
      <c r="J385" t="str">
        <f>TEXT(SalesData[[#This Row],[Order Date]],"mmm")</f>
        <v>Dec</v>
      </c>
      <c r="K385">
        <f>YEAR(SalesData[[#This Row],[Order Date]])</f>
        <v>2025</v>
      </c>
      <c r="L385" s="3">
        <f>SalesData[[#This Row],[Profit]]/SalesData[[#This Row],[Sales]]</f>
        <v>0.32663333848717552</v>
      </c>
    </row>
    <row r="386" spans="1:12">
      <c r="A386" t="s">
        <v>724</v>
      </c>
      <c r="B386" s="2">
        <v>45917</v>
      </c>
      <c r="C386" t="s">
        <v>616</v>
      </c>
      <c r="D386" t="s">
        <v>23</v>
      </c>
      <c r="E386" t="s">
        <v>15</v>
      </c>
      <c r="F386" t="s">
        <v>82</v>
      </c>
      <c r="G386">
        <v>32.799999999999997</v>
      </c>
      <c r="H386">
        <v>2.91</v>
      </c>
      <c r="I386">
        <v>4</v>
      </c>
      <c r="J386" t="str">
        <f>TEXT(SalesData[[#This Row],[Order Date]],"mmm")</f>
        <v>Sep</v>
      </c>
      <c r="K386">
        <f>YEAR(SalesData[[#This Row],[Order Date]])</f>
        <v>2025</v>
      </c>
      <c r="L386" s="3">
        <f>SalesData[[#This Row],[Profit]]/SalesData[[#This Row],[Sales]]</f>
        <v>8.8719512195121961E-2</v>
      </c>
    </row>
    <row r="387" spans="1:12">
      <c r="A387" t="s">
        <v>725</v>
      </c>
      <c r="B387" s="2">
        <v>45751</v>
      </c>
      <c r="C387" t="s">
        <v>726</v>
      </c>
      <c r="D387" t="s">
        <v>32</v>
      </c>
      <c r="E387" t="s">
        <v>15</v>
      </c>
      <c r="F387" t="s">
        <v>16</v>
      </c>
      <c r="G387">
        <v>160.74</v>
      </c>
      <c r="H387">
        <v>18.18</v>
      </c>
      <c r="I387">
        <v>6</v>
      </c>
      <c r="J387" t="str">
        <f>TEXT(SalesData[[#This Row],[Order Date]],"mmm")</f>
        <v>Apr</v>
      </c>
      <c r="K387">
        <f>YEAR(SalesData[[#This Row],[Order Date]])</f>
        <v>2025</v>
      </c>
      <c r="L387" s="3">
        <f>SalesData[[#This Row],[Profit]]/SalesData[[#This Row],[Sales]]</f>
        <v>0.11310190369540872</v>
      </c>
    </row>
    <row r="388" spans="1:12">
      <c r="A388" t="s">
        <v>727</v>
      </c>
      <c r="B388" s="2">
        <v>45848</v>
      </c>
      <c r="C388" t="s">
        <v>262</v>
      </c>
      <c r="D388" t="s">
        <v>14</v>
      </c>
      <c r="E388" t="s">
        <v>33</v>
      </c>
      <c r="F388" t="s">
        <v>52</v>
      </c>
      <c r="G388">
        <v>344.64</v>
      </c>
      <c r="H388">
        <v>64.739999999999995</v>
      </c>
      <c r="I388">
        <v>4</v>
      </c>
      <c r="J388" t="str">
        <f>TEXT(SalesData[[#This Row],[Order Date]],"mmm")</f>
        <v>Jul</v>
      </c>
      <c r="K388">
        <f>YEAR(SalesData[[#This Row],[Order Date]])</f>
        <v>2025</v>
      </c>
      <c r="L388" s="3">
        <f>SalesData[[#This Row],[Profit]]/SalesData[[#This Row],[Sales]]</f>
        <v>0.18784818941504178</v>
      </c>
    </row>
    <row r="389" spans="1:12">
      <c r="A389" t="s">
        <v>728</v>
      </c>
      <c r="B389" s="2">
        <v>45975</v>
      </c>
      <c r="C389" t="s">
        <v>236</v>
      </c>
      <c r="D389" t="s">
        <v>19</v>
      </c>
      <c r="E389" t="s">
        <v>33</v>
      </c>
      <c r="F389" t="s">
        <v>63</v>
      </c>
      <c r="G389">
        <v>1655.3</v>
      </c>
      <c r="H389">
        <v>372.81</v>
      </c>
      <c r="I389">
        <v>5</v>
      </c>
      <c r="J389" t="str">
        <f>TEXT(SalesData[[#This Row],[Order Date]],"mmm")</f>
        <v>Nov</v>
      </c>
      <c r="K389">
        <f>YEAR(SalesData[[#This Row],[Order Date]])</f>
        <v>2025</v>
      </c>
      <c r="L389" s="3">
        <f>SalesData[[#This Row],[Profit]]/SalesData[[#This Row],[Sales]]</f>
        <v>0.22522201413641033</v>
      </c>
    </row>
    <row r="390" spans="1:12">
      <c r="A390" t="s">
        <v>729</v>
      </c>
      <c r="B390" s="2">
        <v>45760</v>
      </c>
      <c r="C390" t="s">
        <v>256</v>
      </c>
      <c r="D390" t="s">
        <v>23</v>
      </c>
      <c r="E390" t="s">
        <v>37</v>
      </c>
      <c r="F390" t="s">
        <v>155</v>
      </c>
      <c r="G390">
        <v>44.8</v>
      </c>
      <c r="H390">
        <v>9.2899999999999991</v>
      </c>
      <c r="I390">
        <v>2</v>
      </c>
      <c r="J390" t="str">
        <f>TEXT(SalesData[[#This Row],[Order Date]],"mmm")</f>
        <v>Apr</v>
      </c>
      <c r="K390">
        <f>YEAR(SalesData[[#This Row],[Order Date]])</f>
        <v>2025</v>
      </c>
      <c r="L390" s="3">
        <f>SalesData[[#This Row],[Profit]]/SalesData[[#This Row],[Sales]]</f>
        <v>0.20736607142857141</v>
      </c>
    </row>
    <row r="391" spans="1:12">
      <c r="A391" t="s">
        <v>730</v>
      </c>
      <c r="B391" s="2">
        <v>45907</v>
      </c>
      <c r="C391" t="s">
        <v>316</v>
      </c>
      <c r="D391" t="s">
        <v>14</v>
      </c>
      <c r="E391" t="s">
        <v>41</v>
      </c>
      <c r="F391" t="s">
        <v>42</v>
      </c>
      <c r="G391">
        <v>346.16</v>
      </c>
      <c r="H391">
        <v>100.49</v>
      </c>
      <c r="I391">
        <v>4</v>
      </c>
      <c r="J391" t="str">
        <f>TEXT(SalesData[[#This Row],[Order Date]],"mmm")</f>
        <v>Sep</v>
      </c>
      <c r="K391">
        <f>YEAR(SalesData[[#This Row],[Order Date]])</f>
        <v>2025</v>
      </c>
      <c r="L391" s="3">
        <f>SalesData[[#This Row],[Profit]]/SalesData[[#This Row],[Sales]]</f>
        <v>0.2902992835682921</v>
      </c>
    </row>
    <row r="392" spans="1:12">
      <c r="A392" t="s">
        <v>731</v>
      </c>
      <c r="B392" s="2">
        <v>45739</v>
      </c>
      <c r="C392" t="s">
        <v>732</v>
      </c>
      <c r="D392" t="s">
        <v>19</v>
      </c>
      <c r="E392" t="s">
        <v>41</v>
      </c>
      <c r="F392" t="s">
        <v>71</v>
      </c>
      <c r="G392">
        <v>486.12</v>
      </c>
      <c r="H392">
        <v>-53.32</v>
      </c>
      <c r="I392">
        <v>4</v>
      </c>
      <c r="J392" t="str">
        <f>TEXT(SalesData[[#This Row],[Order Date]],"mmm")</f>
        <v>Mar</v>
      </c>
      <c r="K392">
        <f>YEAR(SalesData[[#This Row],[Order Date]])</f>
        <v>2025</v>
      </c>
      <c r="L392" s="3">
        <f>SalesData[[#This Row],[Profit]]/SalesData[[#This Row],[Sales]]</f>
        <v>-0.10968485147700156</v>
      </c>
    </row>
    <row r="393" spans="1:12">
      <c r="A393" t="s">
        <v>733</v>
      </c>
      <c r="B393" s="2">
        <v>45931</v>
      </c>
      <c r="C393" t="s">
        <v>734</v>
      </c>
      <c r="D393" t="s">
        <v>32</v>
      </c>
      <c r="E393" t="s">
        <v>37</v>
      </c>
      <c r="F393" t="s">
        <v>194</v>
      </c>
      <c r="G393">
        <v>11.98</v>
      </c>
      <c r="H393">
        <v>1.21</v>
      </c>
      <c r="I393">
        <v>2</v>
      </c>
      <c r="J393" t="str">
        <f>TEXT(SalesData[[#This Row],[Order Date]],"mmm")</f>
        <v>Oct</v>
      </c>
      <c r="K393">
        <f>YEAR(SalesData[[#This Row],[Order Date]])</f>
        <v>2025</v>
      </c>
      <c r="L393" s="3">
        <f>SalesData[[#This Row],[Profit]]/SalesData[[#This Row],[Sales]]</f>
        <v>0.1010016694490818</v>
      </c>
    </row>
    <row r="394" spans="1:12">
      <c r="A394" t="s">
        <v>735</v>
      </c>
      <c r="B394" s="2">
        <v>45773</v>
      </c>
      <c r="C394" t="s">
        <v>736</v>
      </c>
      <c r="D394" t="s">
        <v>14</v>
      </c>
      <c r="E394" t="s">
        <v>15</v>
      </c>
      <c r="F394" t="s">
        <v>109</v>
      </c>
      <c r="G394">
        <v>98.6</v>
      </c>
      <c r="H394">
        <v>7.4</v>
      </c>
      <c r="I394">
        <v>5</v>
      </c>
      <c r="J394" t="str">
        <f>TEXT(SalesData[[#This Row],[Order Date]],"mmm")</f>
        <v>Apr</v>
      </c>
      <c r="K394">
        <f>YEAR(SalesData[[#This Row],[Order Date]])</f>
        <v>2025</v>
      </c>
      <c r="L394" s="3">
        <f>SalesData[[#This Row],[Profit]]/SalesData[[#This Row],[Sales]]</f>
        <v>7.5050709939148086E-2</v>
      </c>
    </row>
    <row r="395" spans="1:12">
      <c r="A395" t="s">
        <v>737</v>
      </c>
      <c r="B395" s="2">
        <v>45810</v>
      </c>
      <c r="C395" t="s">
        <v>99</v>
      </c>
      <c r="D395" t="s">
        <v>23</v>
      </c>
      <c r="E395" t="s">
        <v>33</v>
      </c>
      <c r="F395" t="s">
        <v>308</v>
      </c>
      <c r="G395">
        <v>3214.64</v>
      </c>
      <c r="H395">
        <v>801.19</v>
      </c>
      <c r="I395">
        <v>4</v>
      </c>
      <c r="J395" t="str">
        <f>TEXT(SalesData[[#This Row],[Order Date]],"mmm")</f>
        <v>Jun</v>
      </c>
      <c r="K395">
        <f>YEAR(SalesData[[#This Row],[Order Date]])</f>
        <v>2025</v>
      </c>
      <c r="L395" s="3">
        <f>SalesData[[#This Row],[Profit]]/SalesData[[#This Row],[Sales]]</f>
        <v>0.24923164024587516</v>
      </c>
    </row>
    <row r="396" spans="1:12">
      <c r="A396" t="s">
        <v>738</v>
      </c>
      <c r="B396" s="2">
        <v>45908</v>
      </c>
      <c r="C396" t="s">
        <v>40</v>
      </c>
      <c r="D396" t="s">
        <v>19</v>
      </c>
      <c r="E396" t="s">
        <v>37</v>
      </c>
      <c r="F396" t="s">
        <v>155</v>
      </c>
      <c r="G396">
        <v>17.559999999999999</v>
      </c>
      <c r="H396">
        <v>3.67</v>
      </c>
      <c r="I396">
        <v>1</v>
      </c>
      <c r="J396" t="str">
        <f>TEXT(SalesData[[#This Row],[Order Date]],"mmm")</f>
        <v>Sep</v>
      </c>
      <c r="K396">
        <f>YEAR(SalesData[[#This Row],[Order Date]])</f>
        <v>2025</v>
      </c>
      <c r="L396" s="3">
        <f>SalesData[[#This Row],[Profit]]/SalesData[[#This Row],[Sales]]</f>
        <v>0.20899772209567199</v>
      </c>
    </row>
    <row r="397" spans="1:12">
      <c r="A397" t="s">
        <v>739</v>
      </c>
      <c r="B397" s="2">
        <v>45669</v>
      </c>
      <c r="C397" t="s">
        <v>691</v>
      </c>
      <c r="D397" t="s">
        <v>19</v>
      </c>
      <c r="E397" t="s">
        <v>15</v>
      </c>
      <c r="F397" t="s">
        <v>82</v>
      </c>
      <c r="G397">
        <v>107.64</v>
      </c>
      <c r="H397">
        <v>9.51</v>
      </c>
      <c r="I397">
        <v>4</v>
      </c>
      <c r="J397" t="str">
        <f>TEXT(SalesData[[#This Row],[Order Date]],"mmm")</f>
        <v>Jan</v>
      </c>
      <c r="K397">
        <f>YEAR(SalesData[[#This Row],[Order Date]])</f>
        <v>2025</v>
      </c>
      <c r="L397" s="3">
        <f>SalesData[[#This Row],[Profit]]/SalesData[[#This Row],[Sales]]</f>
        <v>8.8350055741360081E-2</v>
      </c>
    </row>
    <row r="398" spans="1:12">
      <c r="A398" t="s">
        <v>740</v>
      </c>
      <c r="B398" s="2">
        <v>45682</v>
      </c>
      <c r="C398" t="s">
        <v>546</v>
      </c>
      <c r="D398" t="s">
        <v>32</v>
      </c>
      <c r="E398" t="s">
        <v>41</v>
      </c>
      <c r="F398" t="s">
        <v>42</v>
      </c>
      <c r="G398">
        <v>180.19</v>
      </c>
      <c r="H398">
        <v>36.79</v>
      </c>
      <c r="I398">
        <v>1</v>
      </c>
      <c r="J398" t="str">
        <f>TEXT(SalesData[[#This Row],[Order Date]],"mmm")</f>
        <v>Jan</v>
      </c>
      <c r="K398">
        <f>YEAR(SalesData[[#This Row],[Order Date]])</f>
        <v>2025</v>
      </c>
      <c r="L398" s="3">
        <f>SalesData[[#This Row],[Profit]]/SalesData[[#This Row],[Sales]]</f>
        <v>0.20417337255119597</v>
      </c>
    </row>
    <row r="399" spans="1:12">
      <c r="A399" t="s">
        <v>741</v>
      </c>
      <c r="B399" s="2">
        <v>45938</v>
      </c>
      <c r="C399" t="s">
        <v>742</v>
      </c>
      <c r="D399" t="s">
        <v>19</v>
      </c>
      <c r="E399" t="s">
        <v>15</v>
      </c>
      <c r="F399" t="s">
        <v>82</v>
      </c>
      <c r="G399">
        <v>46.56</v>
      </c>
      <c r="H399">
        <v>3.03</v>
      </c>
      <c r="I399">
        <v>3</v>
      </c>
      <c r="J399" t="str">
        <f>TEXT(SalesData[[#This Row],[Order Date]],"mmm")</f>
        <v>Oct</v>
      </c>
      <c r="K399">
        <f>YEAR(SalesData[[#This Row],[Order Date]])</f>
        <v>2025</v>
      </c>
      <c r="L399" s="3">
        <f>SalesData[[#This Row],[Profit]]/SalesData[[#This Row],[Sales]]</f>
        <v>6.5077319587628857E-2</v>
      </c>
    </row>
    <row r="400" spans="1:12">
      <c r="A400" t="s">
        <v>743</v>
      </c>
      <c r="B400" s="2">
        <v>45976</v>
      </c>
      <c r="C400" t="s">
        <v>576</v>
      </c>
      <c r="D400" t="s">
        <v>28</v>
      </c>
      <c r="E400" t="s">
        <v>41</v>
      </c>
      <c r="F400" t="s">
        <v>42</v>
      </c>
      <c r="G400">
        <v>1059.94</v>
      </c>
      <c r="H400">
        <v>136.21</v>
      </c>
      <c r="I400">
        <v>5</v>
      </c>
      <c r="J400" t="str">
        <f>TEXT(SalesData[[#This Row],[Order Date]],"mmm")</f>
        <v>Nov</v>
      </c>
      <c r="K400">
        <f>YEAR(SalesData[[#This Row],[Order Date]])</f>
        <v>2025</v>
      </c>
      <c r="L400" s="3">
        <f>SalesData[[#This Row],[Profit]]/SalesData[[#This Row],[Sales]]</f>
        <v>0.12850727399664133</v>
      </c>
    </row>
    <row r="401" spans="1:12">
      <c r="A401" t="s">
        <v>744</v>
      </c>
      <c r="B401" s="2">
        <v>45759</v>
      </c>
      <c r="C401" t="s">
        <v>745</v>
      </c>
      <c r="D401" t="s">
        <v>14</v>
      </c>
      <c r="E401" t="s">
        <v>41</v>
      </c>
      <c r="F401" t="s">
        <v>158</v>
      </c>
      <c r="G401">
        <v>549.80999999999995</v>
      </c>
      <c r="H401">
        <v>95.58</v>
      </c>
      <c r="I401">
        <v>3</v>
      </c>
      <c r="J401" t="str">
        <f>TEXT(SalesData[[#This Row],[Order Date]],"mmm")</f>
        <v>Apr</v>
      </c>
      <c r="K401">
        <f>YEAR(SalesData[[#This Row],[Order Date]])</f>
        <v>2025</v>
      </c>
      <c r="L401" s="3">
        <f>SalesData[[#This Row],[Profit]]/SalesData[[#This Row],[Sales]]</f>
        <v>0.17384187264691439</v>
      </c>
    </row>
    <row r="402" spans="1:12">
      <c r="A402" t="s">
        <v>746</v>
      </c>
      <c r="B402" s="2">
        <v>45912</v>
      </c>
      <c r="C402" t="s">
        <v>747</v>
      </c>
      <c r="D402" t="s">
        <v>28</v>
      </c>
      <c r="E402" t="s">
        <v>24</v>
      </c>
      <c r="F402" t="s">
        <v>25</v>
      </c>
      <c r="G402">
        <v>241.64</v>
      </c>
      <c r="H402">
        <v>67.989999999999995</v>
      </c>
      <c r="I402">
        <v>1</v>
      </c>
      <c r="J402" t="str">
        <f>TEXT(SalesData[[#This Row],[Order Date]],"mmm")</f>
        <v>Sep</v>
      </c>
      <c r="K402">
        <f>YEAR(SalesData[[#This Row],[Order Date]])</f>
        <v>2025</v>
      </c>
      <c r="L402" s="3">
        <f>SalesData[[#This Row],[Profit]]/SalesData[[#This Row],[Sales]]</f>
        <v>0.28136897864591953</v>
      </c>
    </row>
    <row r="403" spans="1:12">
      <c r="A403" t="s">
        <v>748</v>
      </c>
      <c r="B403" s="2">
        <v>46000</v>
      </c>
      <c r="C403" t="s">
        <v>565</v>
      </c>
      <c r="D403" t="s">
        <v>32</v>
      </c>
      <c r="E403" t="s">
        <v>41</v>
      </c>
      <c r="F403" t="s">
        <v>42</v>
      </c>
      <c r="G403">
        <v>1545.33</v>
      </c>
      <c r="H403">
        <v>403.46</v>
      </c>
      <c r="I403">
        <v>6</v>
      </c>
      <c r="J403" t="str">
        <f>TEXT(SalesData[[#This Row],[Order Date]],"mmm")</f>
        <v>Dec</v>
      </c>
      <c r="K403">
        <f>YEAR(SalesData[[#This Row],[Order Date]])</f>
        <v>2025</v>
      </c>
      <c r="L403" s="3">
        <f>SalesData[[#This Row],[Profit]]/SalesData[[#This Row],[Sales]]</f>
        <v>0.26108339319109836</v>
      </c>
    </row>
    <row r="404" spans="1:12">
      <c r="A404" t="s">
        <v>749</v>
      </c>
      <c r="B404" s="2">
        <v>45809</v>
      </c>
      <c r="C404" t="s">
        <v>352</v>
      </c>
      <c r="D404" t="s">
        <v>32</v>
      </c>
      <c r="E404" t="s">
        <v>15</v>
      </c>
      <c r="F404" t="s">
        <v>16</v>
      </c>
      <c r="G404">
        <v>26.31</v>
      </c>
      <c r="H404">
        <v>2.74</v>
      </c>
      <c r="I404">
        <v>1</v>
      </c>
      <c r="J404" t="str">
        <f>TEXT(SalesData[[#This Row],[Order Date]],"mmm")</f>
        <v>Jun</v>
      </c>
      <c r="K404">
        <f>YEAR(SalesData[[#This Row],[Order Date]])</f>
        <v>2025</v>
      </c>
      <c r="L404" s="3">
        <f>SalesData[[#This Row],[Profit]]/SalesData[[#This Row],[Sales]]</f>
        <v>0.10414291144051693</v>
      </c>
    </row>
    <row r="405" spans="1:12">
      <c r="A405" t="s">
        <v>750</v>
      </c>
      <c r="B405" s="2">
        <v>45876</v>
      </c>
      <c r="C405" t="s">
        <v>490</v>
      </c>
      <c r="D405" t="s">
        <v>32</v>
      </c>
      <c r="E405" t="s">
        <v>37</v>
      </c>
      <c r="F405" t="s">
        <v>38</v>
      </c>
      <c r="G405">
        <v>51.86</v>
      </c>
      <c r="H405">
        <v>10.35</v>
      </c>
      <c r="I405">
        <v>1</v>
      </c>
      <c r="J405" t="str">
        <f>TEXT(SalesData[[#This Row],[Order Date]],"mmm")</f>
        <v>Aug</v>
      </c>
      <c r="K405">
        <f>YEAR(SalesData[[#This Row],[Order Date]])</f>
        <v>2025</v>
      </c>
      <c r="L405" s="3">
        <f>SalesData[[#This Row],[Profit]]/SalesData[[#This Row],[Sales]]</f>
        <v>0.19957578094870806</v>
      </c>
    </row>
    <row r="406" spans="1:12">
      <c r="A406" t="s">
        <v>751</v>
      </c>
      <c r="B406" s="2">
        <v>45841</v>
      </c>
      <c r="C406" t="s">
        <v>752</v>
      </c>
      <c r="D406" t="s">
        <v>23</v>
      </c>
      <c r="E406" t="s">
        <v>24</v>
      </c>
      <c r="F406" t="s">
        <v>25</v>
      </c>
      <c r="G406">
        <v>866.82</v>
      </c>
      <c r="H406">
        <v>118.38</v>
      </c>
      <c r="I406">
        <v>3</v>
      </c>
      <c r="J406" t="str">
        <f>TEXT(SalesData[[#This Row],[Order Date]],"mmm")</f>
        <v>Jul</v>
      </c>
      <c r="K406">
        <f>YEAR(SalesData[[#This Row],[Order Date]])</f>
        <v>2025</v>
      </c>
      <c r="L406" s="3">
        <f>SalesData[[#This Row],[Profit]]/SalesData[[#This Row],[Sales]]</f>
        <v>0.13656814563577213</v>
      </c>
    </row>
    <row r="407" spans="1:12">
      <c r="A407" t="s">
        <v>753</v>
      </c>
      <c r="B407" s="2">
        <v>45891</v>
      </c>
      <c r="C407" t="s">
        <v>754</v>
      </c>
      <c r="D407" t="s">
        <v>28</v>
      </c>
      <c r="E407" t="s">
        <v>41</v>
      </c>
      <c r="F407" t="s">
        <v>158</v>
      </c>
      <c r="G407">
        <v>54.82</v>
      </c>
      <c r="H407">
        <v>15.44</v>
      </c>
      <c r="I407">
        <v>1</v>
      </c>
      <c r="J407" t="str">
        <f>TEXT(SalesData[[#This Row],[Order Date]],"mmm")</f>
        <v>Aug</v>
      </c>
      <c r="K407">
        <f>YEAR(SalesData[[#This Row],[Order Date]])</f>
        <v>2025</v>
      </c>
      <c r="L407" s="3">
        <f>SalesData[[#This Row],[Profit]]/SalesData[[#This Row],[Sales]]</f>
        <v>0.28164903319956219</v>
      </c>
    </row>
    <row r="408" spans="1:12">
      <c r="A408" t="s">
        <v>755</v>
      </c>
      <c r="B408" s="2">
        <v>45739</v>
      </c>
      <c r="C408" t="s">
        <v>519</v>
      </c>
      <c r="D408" t="s">
        <v>23</v>
      </c>
      <c r="E408" t="s">
        <v>33</v>
      </c>
      <c r="F408" t="s">
        <v>34</v>
      </c>
      <c r="G408">
        <v>2500.92</v>
      </c>
      <c r="H408">
        <v>459.98</v>
      </c>
      <c r="I408">
        <v>6</v>
      </c>
      <c r="J408" t="str">
        <f>TEXT(SalesData[[#This Row],[Order Date]],"mmm")</f>
        <v>Mar</v>
      </c>
      <c r="K408">
        <f>YEAR(SalesData[[#This Row],[Order Date]])</f>
        <v>2025</v>
      </c>
      <c r="L408" s="3">
        <f>SalesData[[#This Row],[Profit]]/SalesData[[#This Row],[Sales]]</f>
        <v>0.18392431585176655</v>
      </c>
    </row>
    <row r="409" spans="1:12">
      <c r="A409" t="s">
        <v>756</v>
      </c>
      <c r="B409" s="2">
        <v>45971</v>
      </c>
      <c r="C409" t="s">
        <v>757</v>
      </c>
      <c r="D409" t="s">
        <v>28</v>
      </c>
      <c r="E409" t="s">
        <v>37</v>
      </c>
      <c r="F409" t="s">
        <v>38</v>
      </c>
      <c r="G409">
        <v>130.88</v>
      </c>
      <c r="H409">
        <v>-12.97</v>
      </c>
      <c r="I409">
        <v>4</v>
      </c>
      <c r="J409" t="str">
        <f>TEXT(SalesData[[#This Row],[Order Date]],"mmm")</f>
        <v>Nov</v>
      </c>
      <c r="K409">
        <f>YEAR(SalesData[[#This Row],[Order Date]])</f>
        <v>2025</v>
      </c>
      <c r="L409" s="3">
        <f>SalesData[[#This Row],[Profit]]/SalesData[[#This Row],[Sales]]</f>
        <v>-9.9098410757946218E-2</v>
      </c>
    </row>
    <row r="410" spans="1:12">
      <c r="A410" t="s">
        <v>758</v>
      </c>
      <c r="B410" s="2">
        <v>46005</v>
      </c>
      <c r="C410" t="s">
        <v>282</v>
      </c>
      <c r="D410" t="s">
        <v>23</v>
      </c>
      <c r="E410" t="s">
        <v>15</v>
      </c>
      <c r="F410" t="s">
        <v>29</v>
      </c>
      <c r="G410">
        <v>118.44</v>
      </c>
      <c r="H410">
        <v>7.61</v>
      </c>
      <c r="I410">
        <v>5</v>
      </c>
      <c r="J410" t="str">
        <f>TEXT(SalesData[[#This Row],[Order Date]],"mmm")</f>
        <v>Dec</v>
      </c>
      <c r="K410">
        <f>YEAR(SalesData[[#This Row],[Order Date]])</f>
        <v>2025</v>
      </c>
      <c r="L410" s="3">
        <f>SalesData[[#This Row],[Profit]]/SalesData[[#This Row],[Sales]]</f>
        <v>6.4251941911516383E-2</v>
      </c>
    </row>
    <row r="411" spans="1:12">
      <c r="A411" t="s">
        <v>759</v>
      </c>
      <c r="B411" s="2">
        <v>45785</v>
      </c>
      <c r="C411" t="s">
        <v>760</v>
      </c>
      <c r="D411" t="s">
        <v>28</v>
      </c>
      <c r="E411" t="s">
        <v>15</v>
      </c>
      <c r="F411" t="s">
        <v>20</v>
      </c>
      <c r="G411">
        <v>31.8</v>
      </c>
      <c r="H411">
        <v>4.66</v>
      </c>
      <c r="I411">
        <v>5</v>
      </c>
      <c r="J411" t="str">
        <f>TEXT(SalesData[[#This Row],[Order Date]],"mmm")</f>
        <v>May</v>
      </c>
      <c r="K411">
        <f>YEAR(SalesData[[#This Row],[Order Date]])</f>
        <v>2025</v>
      </c>
      <c r="L411" s="3">
        <f>SalesData[[#This Row],[Profit]]/SalesData[[#This Row],[Sales]]</f>
        <v>0.14654088050314465</v>
      </c>
    </row>
    <row r="412" spans="1:12">
      <c r="A412" t="s">
        <v>761</v>
      </c>
      <c r="B412" s="2">
        <v>45898</v>
      </c>
      <c r="C412" t="s">
        <v>249</v>
      </c>
      <c r="D412" t="s">
        <v>19</v>
      </c>
      <c r="E412" t="s">
        <v>15</v>
      </c>
      <c r="F412" t="s">
        <v>109</v>
      </c>
      <c r="G412">
        <v>33.06</v>
      </c>
      <c r="H412">
        <v>6.46</v>
      </c>
      <c r="I412">
        <v>3</v>
      </c>
      <c r="J412" t="str">
        <f>TEXT(SalesData[[#This Row],[Order Date]],"mmm")</f>
        <v>Aug</v>
      </c>
      <c r="K412">
        <f>YEAR(SalesData[[#This Row],[Order Date]])</f>
        <v>2025</v>
      </c>
      <c r="L412" s="3">
        <f>SalesData[[#This Row],[Profit]]/SalesData[[#This Row],[Sales]]</f>
        <v>0.1954022988505747</v>
      </c>
    </row>
    <row r="413" spans="1:12">
      <c r="A413" t="s">
        <v>762</v>
      </c>
      <c r="B413" s="2">
        <v>45772</v>
      </c>
      <c r="C413" t="s">
        <v>763</v>
      </c>
      <c r="D413" t="s">
        <v>28</v>
      </c>
      <c r="E413" t="s">
        <v>41</v>
      </c>
      <c r="F413" t="s">
        <v>42</v>
      </c>
      <c r="G413">
        <v>499.76</v>
      </c>
      <c r="H413">
        <v>121.57</v>
      </c>
      <c r="I413">
        <v>4</v>
      </c>
      <c r="J413" t="str">
        <f>TEXT(SalesData[[#This Row],[Order Date]],"mmm")</f>
        <v>Apr</v>
      </c>
      <c r="K413">
        <f>YEAR(SalesData[[#This Row],[Order Date]])</f>
        <v>2025</v>
      </c>
      <c r="L413" s="3">
        <f>SalesData[[#This Row],[Profit]]/SalesData[[#This Row],[Sales]]</f>
        <v>0.24325676324635825</v>
      </c>
    </row>
    <row r="414" spans="1:12">
      <c r="A414" t="s">
        <v>764</v>
      </c>
      <c r="B414" s="2">
        <v>45913</v>
      </c>
      <c r="C414" t="s">
        <v>553</v>
      </c>
      <c r="D414" t="s">
        <v>32</v>
      </c>
      <c r="E414" t="s">
        <v>37</v>
      </c>
      <c r="F414" t="s">
        <v>38</v>
      </c>
      <c r="G414">
        <v>27.19</v>
      </c>
      <c r="H414">
        <v>2.87</v>
      </c>
      <c r="I414">
        <v>1</v>
      </c>
      <c r="J414" t="str">
        <f>TEXT(SalesData[[#This Row],[Order Date]],"mmm")</f>
        <v>Sep</v>
      </c>
      <c r="K414">
        <f>YEAR(SalesData[[#This Row],[Order Date]])</f>
        <v>2025</v>
      </c>
      <c r="L414" s="3">
        <f>SalesData[[#This Row],[Profit]]/SalesData[[#This Row],[Sales]]</f>
        <v>0.10555351232070614</v>
      </c>
    </row>
    <row r="415" spans="1:12">
      <c r="A415" t="s">
        <v>765</v>
      </c>
      <c r="B415" s="2">
        <v>45704</v>
      </c>
      <c r="C415" t="s">
        <v>697</v>
      </c>
      <c r="D415" t="s">
        <v>23</v>
      </c>
      <c r="E415" t="s">
        <v>41</v>
      </c>
      <c r="F415" t="s">
        <v>68</v>
      </c>
      <c r="G415">
        <v>357.7</v>
      </c>
      <c r="H415">
        <v>95.82</v>
      </c>
      <c r="I415">
        <v>5</v>
      </c>
      <c r="J415" t="str">
        <f>TEXT(SalesData[[#This Row],[Order Date]],"mmm")</f>
        <v>Feb</v>
      </c>
      <c r="K415">
        <f>YEAR(SalesData[[#This Row],[Order Date]])</f>
        <v>2025</v>
      </c>
      <c r="L415" s="3">
        <f>SalesData[[#This Row],[Profit]]/SalesData[[#This Row],[Sales]]</f>
        <v>0.26787811014816887</v>
      </c>
    </row>
    <row r="416" spans="1:12">
      <c r="A416" t="s">
        <v>766</v>
      </c>
      <c r="B416" s="2">
        <v>45844</v>
      </c>
      <c r="C416" t="s">
        <v>501</v>
      </c>
      <c r="D416" t="s">
        <v>19</v>
      </c>
      <c r="E416" t="s">
        <v>41</v>
      </c>
      <c r="F416" t="s">
        <v>58</v>
      </c>
      <c r="G416">
        <v>988.35</v>
      </c>
      <c r="H416">
        <v>247.08</v>
      </c>
      <c r="I416">
        <v>5</v>
      </c>
      <c r="J416" t="str">
        <f>TEXT(SalesData[[#This Row],[Order Date]],"mmm")</f>
        <v>Jul</v>
      </c>
      <c r="K416">
        <f>YEAR(SalesData[[#This Row],[Order Date]])</f>
        <v>2025</v>
      </c>
      <c r="L416" s="3">
        <f>SalesData[[#This Row],[Profit]]/SalesData[[#This Row],[Sales]]</f>
        <v>0.24999241159508273</v>
      </c>
    </row>
    <row r="417" spans="1:12">
      <c r="A417" t="s">
        <v>767</v>
      </c>
      <c r="B417" s="2">
        <v>45844</v>
      </c>
      <c r="C417" t="s">
        <v>379</v>
      </c>
      <c r="D417" t="s">
        <v>32</v>
      </c>
      <c r="E417" t="s">
        <v>15</v>
      </c>
      <c r="F417" t="s">
        <v>16</v>
      </c>
      <c r="G417">
        <v>13.53</v>
      </c>
      <c r="H417">
        <v>2.36</v>
      </c>
      <c r="I417">
        <v>1</v>
      </c>
      <c r="J417" t="str">
        <f>TEXT(SalesData[[#This Row],[Order Date]],"mmm")</f>
        <v>Jul</v>
      </c>
      <c r="K417">
        <f>YEAR(SalesData[[#This Row],[Order Date]])</f>
        <v>2025</v>
      </c>
      <c r="L417" s="3">
        <f>SalesData[[#This Row],[Profit]]/SalesData[[#This Row],[Sales]]</f>
        <v>0.17442719881744273</v>
      </c>
    </row>
    <row r="418" spans="1:12">
      <c r="A418" t="s">
        <v>768</v>
      </c>
      <c r="B418" s="2">
        <v>45807</v>
      </c>
      <c r="C418" t="s">
        <v>62</v>
      </c>
      <c r="D418" t="s">
        <v>14</v>
      </c>
      <c r="E418" t="s">
        <v>41</v>
      </c>
      <c r="F418" t="s">
        <v>42</v>
      </c>
      <c r="G418">
        <v>271.58</v>
      </c>
      <c r="H418">
        <v>82.96</v>
      </c>
      <c r="I418">
        <v>2</v>
      </c>
      <c r="J418" t="str">
        <f>TEXT(SalesData[[#This Row],[Order Date]],"mmm")</f>
        <v>May</v>
      </c>
      <c r="K418">
        <f>YEAR(SalesData[[#This Row],[Order Date]])</f>
        <v>2025</v>
      </c>
      <c r="L418" s="3">
        <f>SalesData[[#This Row],[Profit]]/SalesData[[#This Row],[Sales]]</f>
        <v>0.30547168421827819</v>
      </c>
    </row>
    <row r="419" spans="1:12">
      <c r="A419" t="s">
        <v>769</v>
      </c>
      <c r="B419" s="2">
        <v>45867</v>
      </c>
      <c r="C419" t="s">
        <v>770</v>
      </c>
      <c r="D419" t="s">
        <v>23</v>
      </c>
      <c r="E419" t="s">
        <v>15</v>
      </c>
      <c r="F419" t="s">
        <v>82</v>
      </c>
      <c r="G419">
        <v>41.56</v>
      </c>
      <c r="H419">
        <v>7.22</v>
      </c>
      <c r="I419">
        <v>4</v>
      </c>
      <c r="J419" t="str">
        <f>TEXT(SalesData[[#This Row],[Order Date]],"mmm")</f>
        <v>Jul</v>
      </c>
      <c r="K419">
        <f>YEAR(SalesData[[#This Row],[Order Date]])</f>
        <v>2025</v>
      </c>
      <c r="L419" s="3">
        <f>SalesData[[#This Row],[Profit]]/SalesData[[#This Row],[Sales]]</f>
        <v>0.17372473532242538</v>
      </c>
    </row>
    <row r="420" spans="1:12">
      <c r="A420" t="s">
        <v>771</v>
      </c>
      <c r="B420" s="2">
        <v>45831</v>
      </c>
      <c r="C420" t="s">
        <v>519</v>
      </c>
      <c r="D420" t="s">
        <v>32</v>
      </c>
      <c r="E420" t="s">
        <v>37</v>
      </c>
      <c r="F420" t="s">
        <v>194</v>
      </c>
      <c r="G420">
        <v>47.47</v>
      </c>
      <c r="H420">
        <v>7.95</v>
      </c>
      <c r="I420">
        <v>1</v>
      </c>
      <c r="J420" t="str">
        <f>TEXT(SalesData[[#This Row],[Order Date]],"mmm")</f>
        <v>Jun</v>
      </c>
      <c r="K420">
        <f>YEAR(SalesData[[#This Row],[Order Date]])</f>
        <v>2025</v>
      </c>
      <c r="L420" s="3">
        <f>SalesData[[#This Row],[Profit]]/SalesData[[#This Row],[Sales]]</f>
        <v>0.16747419422793344</v>
      </c>
    </row>
    <row r="421" spans="1:12">
      <c r="A421" t="s">
        <v>772</v>
      </c>
      <c r="B421" s="2">
        <v>45916</v>
      </c>
      <c r="C421" t="s">
        <v>193</v>
      </c>
      <c r="D421" t="s">
        <v>32</v>
      </c>
      <c r="E421" t="s">
        <v>33</v>
      </c>
      <c r="F421" t="s">
        <v>52</v>
      </c>
      <c r="G421">
        <v>4221.8500000000004</v>
      </c>
      <c r="H421">
        <v>939.78</v>
      </c>
      <c r="I421">
        <v>5</v>
      </c>
      <c r="J421" t="str">
        <f>TEXT(SalesData[[#This Row],[Order Date]],"mmm")</f>
        <v>Sep</v>
      </c>
      <c r="K421">
        <f>YEAR(SalesData[[#This Row],[Order Date]])</f>
        <v>2025</v>
      </c>
      <c r="L421" s="3">
        <f>SalesData[[#This Row],[Profit]]/SalesData[[#This Row],[Sales]]</f>
        <v>0.22259909755202101</v>
      </c>
    </row>
    <row r="422" spans="1:12">
      <c r="A422" t="s">
        <v>773</v>
      </c>
      <c r="B422" s="2">
        <v>45918</v>
      </c>
      <c r="C422" t="s">
        <v>774</v>
      </c>
      <c r="D422" t="s">
        <v>23</v>
      </c>
      <c r="E422" t="s">
        <v>15</v>
      </c>
      <c r="F422" t="s">
        <v>16</v>
      </c>
      <c r="G422">
        <v>14.69</v>
      </c>
      <c r="H422">
        <v>2.06</v>
      </c>
      <c r="I422">
        <v>1</v>
      </c>
      <c r="J422" t="str">
        <f>TEXT(SalesData[[#This Row],[Order Date]],"mmm")</f>
        <v>Sep</v>
      </c>
      <c r="K422">
        <f>YEAR(SalesData[[#This Row],[Order Date]])</f>
        <v>2025</v>
      </c>
      <c r="L422" s="3">
        <f>SalesData[[#This Row],[Profit]]/SalesData[[#This Row],[Sales]]</f>
        <v>0.14023144996596326</v>
      </c>
    </row>
    <row r="423" spans="1:12">
      <c r="A423" t="s">
        <v>775</v>
      </c>
      <c r="B423" s="2">
        <v>45916</v>
      </c>
      <c r="C423" t="s">
        <v>776</v>
      </c>
      <c r="D423" t="s">
        <v>28</v>
      </c>
      <c r="E423" t="s">
        <v>37</v>
      </c>
      <c r="F423" t="s">
        <v>85</v>
      </c>
      <c r="G423">
        <v>80.64</v>
      </c>
      <c r="H423">
        <v>12.21</v>
      </c>
      <c r="I423">
        <v>3</v>
      </c>
      <c r="J423" t="str">
        <f>TEXT(SalesData[[#This Row],[Order Date]],"mmm")</f>
        <v>Sep</v>
      </c>
      <c r="K423">
        <f>YEAR(SalesData[[#This Row],[Order Date]])</f>
        <v>2025</v>
      </c>
      <c r="L423" s="3">
        <f>SalesData[[#This Row],[Profit]]/SalesData[[#This Row],[Sales]]</f>
        <v>0.15141369047619049</v>
      </c>
    </row>
    <row r="424" spans="1:12">
      <c r="A424" t="s">
        <v>777</v>
      </c>
      <c r="B424" s="2">
        <v>45726</v>
      </c>
      <c r="C424" t="s">
        <v>778</v>
      </c>
      <c r="D424" t="s">
        <v>23</v>
      </c>
      <c r="E424" t="s">
        <v>41</v>
      </c>
      <c r="F424" t="s">
        <v>68</v>
      </c>
      <c r="G424">
        <v>644.07000000000005</v>
      </c>
      <c r="H424">
        <v>152.61000000000001</v>
      </c>
      <c r="I424">
        <v>3</v>
      </c>
      <c r="J424" t="str">
        <f>TEXT(SalesData[[#This Row],[Order Date]],"mmm")</f>
        <v>Mar</v>
      </c>
      <c r="K424">
        <f>YEAR(SalesData[[#This Row],[Order Date]])</f>
        <v>2025</v>
      </c>
      <c r="L424" s="3">
        <f>SalesData[[#This Row],[Profit]]/SalesData[[#This Row],[Sales]]</f>
        <v>0.23694629465741301</v>
      </c>
    </row>
    <row r="425" spans="1:12">
      <c r="A425" t="s">
        <v>779</v>
      </c>
      <c r="B425" s="2">
        <v>45941</v>
      </c>
      <c r="C425" t="s">
        <v>780</v>
      </c>
      <c r="D425" t="s">
        <v>19</v>
      </c>
      <c r="E425" t="s">
        <v>15</v>
      </c>
      <c r="F425" t="s">
        <v>29</v>
      </c>
      <c r="G425">
        <v>81.78</v>
      </c>
      <c r="H425">
        <v>12.34</v>
      </c>
      <c r="I425">
        <v>6</v>
      </c>
      <c r="J425" t="str">
        <f>TEXT(SalesData[[#This Row],[Order Date]],"mmm")</f>
        <v>Oct</v>
      </c>
      <c r="K425">
        <f>YEAR(SalesData[[#This Row],[Order Date]])</f>
        <v>2025</v>
      </c>
      <c r="L425" s="3">
        <f>SalesData[[#This Row],[Profit]]/SalesData[[#This Row],[Sales]]</f>
        <v>0.15089263878698947</v>
      </c>
    </row>
    <row r="426" spans="1:12">
      <c r="A426" t="s">
        <v>781</v>
      </c>
      <c r="B426" s="2">
        <v>45990</v>
      </c>
      <c r="C426" t="s">
        <v>782</v>
      </c>
      <c r="D426" t="s">
        <v>23</v>
      </c>
      <c r="E426" t="s">
        <v>41</v>
      </c>
      <c r="F426" t="s">
        <v>58</v>
      </c>
      <c r="G426">
        <v>368.72</v>
      </c>
      <c r="H426">
        <v>81.150000000000006</v>
      </c>
      <c r="I426">
        <v>6</v>
      </c>
      <c r="J426" t="str">
        <f>TEXT(SalesData[[#This Row],[Order Date]],"mmm")</f>
        <v>Nov</v>
      </c>
      <c r="K426">
        <f>YEAR(SalesData[[#This Row],[Order Date]])</f>
        <v>2025</v>
      </c>
      <c r="L426" s="3">
        <f>SalesData[[#This Row],[Profit]]/SalesData[[#This Row],[Sales]]</f>
        <v>0.2200857018876112</v>
      </c>
    </row>
    <row r="427" spans="1:12">
      <c r="A427" t="s">
        <v>783</v>
      </c>
      <c r="B427" s="2">
        <v>45999</v>
      </c>
      <c r="C427" t="s">
        <v>784</v>
      </c>
      <c r="D427" t="s">
        <v>23</v>
      </c>
      <c r="E427" t="s">
        <v>24</v>
      </c>
      <c r="F427" t="s">
        <v>88</v>
      </c>
      <c r="G427">
        <v>213.21</v>
      </c>
      <c r="H427">
        <v>27.52</v>
      </c>
      <c r="I427">
        <v>1</v>
      </c>
      <c r="J427" t="str">
        <f>TEXT(SalesData[[#This Row],[Order Date]],"mmm")</f>
        <v>Dec</v>
      </c>
      <c r="K427">
        <f>YEAR(SalesData[[#This Row],[Order Date]])</f>
        <v>2025</v>
      </c>
      <c r="L427" s="3">
        <f>SalesData[[#This Row],[Profit]]/SalesData[[#This Row],[Sales]]</f>
        <v>0.12907462126541908</v>
      </c>
    </row>
    <row r="428" spans="1:12">
      <c r="A428" t="s">
        <v>785</v>
      </c>
      <c r="B428" s="2">
        <v>45760</v>
      </c>
      <c r="C428" t="s">
        <v>278</v>
      </c>
      <c r="D428" t="s">
        <v>14</v>
      </c>
      <c r="E428" t="s">
        <v>41</v>
      </c>
      <c r="F428" t="s">
        <v>158</v>
      </c>
      <c r="G428">
        <v>180.38</v>
      </c>
      <c r="H428">
        <v>31.35</v>
      </c>
      <c r="I428">
        <v>1</v>
      </c>
      <c r="J428" t="str">
        <f>TEXT(SalesData[[#This Row],[Order Date]],"mmm")</f>
        <v>Apr</v>
      </c>
      <c r="K428">
        <f>YEAR(SalesData[[#This Row],[Order Date]])</f>
        <v>2025</v>
      </c>
      <c r="L428" s="3">
        <f>SalesData[[#This Row],[Profit]]/SalesData[[#This Row],[Sales]]</f>
        <v>0.17379975607051781</v>
      </c>
    </row>
    <row r="429" spans="1:12">
      <c r="A429" t="s">
        <v>786</v>
      </c>
      <c r="B429" s="2">
        <v>45674</v>
      </c>
      <c r="C429" t="s">
        <v>787</v>
      </c>
      <c r="D429" t="s">
        <v>32</v>
      </c>
      <c r="E429" t="s">
        <v>41</v>
      </c>
      <c r="F429" t="s">
        <v>68</v>
      </c>
      <c r="G429">
        <v>384.08</v>
      </c>
      <c r="H429">
        <v>92.3</v>
      </c>
      <c r="I429">
        <v>2</v>
      </c>
      <c r="J429" t="str">
        <f>TEXT(SalesData[[#This Row],[Order Date]],"mmm")</f>
        <v>Jan</v>
      </c>
      <c r="K429">
        <f>YEAR(SalesData[[#This Row],[Order Date]])</f>
        <v>2025</v>
      </c>
      <c r="L429" s="3">
        <f>SalesData[[#This Row],[Profit]]/SalesData[[#This Row],[Sales]]</f>
        <v>0.24031451780878985</v>
      </c>
    </row>
    <row r="430" spans="1:12">
      <c r="A430" t="s">
        <v>788</v>
      </c>
      <c r="B430" s="2">
        <v>46014</v>
      </c>
      <c r="C430" t="s">
        <v>789</v>
      </c>
      <c r="D430" t="s">
        <v>28</v>
      </c>
      <c r="E430" t="s">
        <v>24</v>
      </c>
      <c r="F430" t="s">
        <v>97</v>
      </c>
      <c r="G430">
        <v>249.74</v>
      </c>
      <c r="H430">
        <v>35.119999999999997</v>
      </c>
      <c r="I430">
        <v>5</v>
      </c>
      <c r="J430" t="str">
        <f>TEXT(SalesData[[#This Row],[Order Date]],"mmm")</f>
        <v>Dec</v>
      </c>
      <c r="K430">
        <f>YEAR(SalesData[[#This Row],[Order Date]])</f>
        <v>2025</v>
      </c>
      <c r="L430" s="3">
        <f>SalesData[[#This Row],[Profit]]/SalesData[[#This Row],[Sales]]</f>
        <v>0.14062625130135339</v>
      </c>
    </row>
    <row r="431" spans="1:12">
      <c r="A431" t="s">
        <v>790</v>
      </c>
      <c r="B431" s="2">
        <v>45884</v>
      </c>
      <c r="C431" t="s">
        <v>276</v>
      </c>
      <c r="D431" t="s">
        <v>14</v>
      </c>
      <c r="E431" t="s">
        <v>41</v>
      </c>
      <c r="F431" t="s">
        <v>68</v>
      </c>
      <c r="G431">
        <v>964.56</v>
      </c>
      <c r="H431">
        <v>283.62</v>
      </c>
      <c r="I431">
        <v>6</v>
      </c>
      <c r="J431" t="str">
        <f>TEXT(SalesData[[#This Row],[Order Date]],"mmm")</f>
        <v>Aug</v>
      </c>
      <c r="K431">
        <f>YEAR(SalesData[[#This Row],[Order Date]])</f>
        <v>2025</v>
      </c>
      <c r="L431" s="3">
        <f>SalesData[[#This Row],[Profit]]/SalesData[[#This Row],[Sales]]</f>
        <v>0.29404080617068923</v>
      </c>
    </row>
    <row r="432" spans="1:12">
      <c r="A432" t="s">
        <v>791</v>
      </c>
      <c r="B432" s="2">
        <v>45808</v>
      </c>
      <c r="C432" t="s">
        <v>712</v>
      </c>
      <c r="D432" t="s">
        <v>32</v>
      </c>
      <c r="E432" t="s">
        <v>15</v>
      </c>
      <c r="F432" t="s">
        <v>16</v>
      </c>
      <c r="G432">
        <v>107.1</v>
      </c>
      <c r="H432">
        <v>11.41</v>
      </c>
      <c r="I432">
        <v>6</v>
      </c>
      <c r="J432" t="str">
        <f>TEXT(SalesData[[#This Row],[Order Date]],"mmm")</f>
        <v>May</v>
      </c>
      <c r="K432">
        <f>YEAR(SalesData[[#This Row],[Order Date]])</f>
        <v>2025</v>
      </c>
      <c r="L432" s="3">
        <f>SalesData[[#This Row],[Profit]]/SalesData[[#This Row],[Sales]]</f>
        <v>0.10653594771241831</v>
      </c>
    </row>
    <row r="433" spans="1:12">
      <c r="A433" t="s">
        <v>792</v>
      </c>
      <c r="B433" s="2">
        <v>45942</v>
      </c>
      <c r="C433" t="s">
        <v>793</v>
      </c>
      <c r="D433" t="s">
        <v>19</v>
      </c>
      <c r="E433" t="s">
        <v>33</v>
      </c>
      <c r="F433" t="s">
        <v>308</v>
      </c>
      <c r="G433">
        <v>324.27999999999997</v>
      </c>
      <c r="H433">
        <v>65.069999999999993</v>
      </c>
      <c r="I433">
        <v>1</v>
      </c>
      <c r="J433" t="str">
        <f>TEXT(SalesData[[#This Row],[Order Date]],"mmm")</f>
        <v>Oct</v>
      </c>
      <c r="K433">
        <f>YEAR(SalesData[[#This Row],[Order Date]])</f>
        <v>2025</v>
      </c>
      <c r="L433" s="3">
        <f>SalesData[[#This Row],[Profit]]/SalesData[[#This Row],[Sales]]</f>
        <v>0.20065992352288145</v>
      </c>
    </row>
    <row r="434" spans="1:12">
      <c r="A434" t="s">
        <v>794</v>
      </c>
      <c r="B434" s="2">
        <v>45736</v>
      </c>
      <c r="C434" t="s">
        <v>795</v>
      </c>
      <c r="D434" t="s">
        <v>23</v>
      </c>
      <c r="E434" t="s">
        <v>15</v>
      </c>
      <c r="F434" t="s">
        <v>20</v>
      </c>
      <c r="G434">
        <v>75.180000000000007</v>
      </c>
      <c r="H434">
        <v>12.67</v>
      </c>
      <c r="I434">
        <v>6</v>
      </c>
      <c r="J434" t="str">
        <f>TEXT(SalesData[[#This Row],[Order Date]],"mmm")</f>
        <v>Mar</v>
      </c>
      <c r="K434">
        <f>YEAR(SalesData[[#This Row],[Order Date]])</f>
        <v>2025</v>
      </c>
      <c r="L434" s="3">
        <f>SalesData[[#This Row],[Profit]]/SalesData[[#This Row],[Sales]]</f>
        <v>0.16852886405959031</v>
      </c>
    </row>
    <row r="435" spans="1:12">
      <c r="A435" t="s">
        <v>796</v>
      </c>
      <c r="B435" s="2">
        <v>45695</v>
      </c>
      <c r="C435" t="s">
        <v>274</v>
      </c>
      <c r="D435" t="s">
        <v>23</v>
      </c>
      <c r="E435" t="s">
        <v>15</v>
      </c>
      <c r="F435" t="s">
        <v>16</v>
      </c>
      <c r="G435">
        <v>33.5</v>
      </c>
      <c r="H435">
        <v>4.21</v>
      </c>
      <c r="I435">
        <v>5</v>
      </c>
      <c r="J435" t="str">
        <f>TEXT(SalesData[[#This Row],[Order Date]],"mmm")</f>
        <v>Feb</v>
      </c>
      <c r="K435">
        <f>YEAR(SalesData[[#This Row],[Order Date]])</f>
        <v>2025</v>
      </c>
      <c r="L435" s="3">
        <f>SalesData[[#This Row],[Profit]]/SalesData[[#This Row],[Sales]]</f>
        <v>0.12567164179104479</v>
      </c>
    </row>
    <row r="436" spans="1:12">
      <c r="A436" t="s">
        <v>797</v>
      </c>
      <c r="B436" s="2">
        <v>45932</v>
      </c>
      <c r="C436" t="s">
        <v>523</v>
      </c>
      <c r="D436" t="s">
        <v>14</v>
      </c>
      <c r="E436" t="s">
        <v>15</v>
      </c>
      <c r="F436" t="s">
        <v>16</v>
      </c>
      <c r="G436">
        <v>79.8</v>
      </c>
      <c r="H436">
        <v>8.31</v>
      </c>
      <c r="I436">
        <v>6</v>
      </c>
      <c r="J436" t="str">
        <f>TEXT(SalesData[[#This Row],[Order Date]],"mmm")</f>
        <v>Oct</v>
      </c>
      <c r="K436">
        <f>YEAR(SalesData[[#This Row],[Order Date]])</f>
        <v>2025</v>
      </c>
      <c r="L436" s="3">
        <f>SalesData[[#This Row],[Profit]]/SalesData[[#This Row],[Sales]]</f>
        <v>0.10413533834586468</v>
      </c>
    </row>
    <row r="437" spans="1:12">
      <c r="A437" t="s">
        <v>798</v>
      </c>
      <c r="B437" s="2">
        <v>45974</v>
      </c>
      <c r="C437" t="s">
        <v>107</v>
      </c>
      <c r="D437" t="s">
        <v>23</v>
      </c>
      <c r="E437" t="s">
        <v>41</v>
      </c>
      <c r="F437" t="s">
        <v>42</v>
      </c>
      <c r="G437">
        <v>216.53</v>
      </c>
      <c r="H437">
        <v>70.62</v>
      </c>
      <c r="I437">
        <v>1</v>
      </c>
      <c r="J437" t="str">
        <f>TEXT(SalesData[[#This Row],[Order Date]],"mmm")</f>
        <v>Nov</v>
      </c>
      <c r="K437">
        <f>YEAR(SalesData[[#This Row],[Order Date]])</f>
        <v>2025</v>
      </c>
      <c r="L437" s="3">
        <f>SalesData[[#This Row],[Profit]]/SalesData[[#This Row],[Sales]]</f>
        <v>0.32614418325405259</v>
      </c>
    </row>
    <row r="438" spans="1:12">
      <c r="A438" t="s">
        <v>799</v>
      </c>
      <c r="B438" s="2">
        <v>45976</v>
      </c>
      <c r="C438" t="s">
        <v>65</v>
      </c>
      <c r="D438" t="s">
        <v>14</v>
      </c>
      <c r="E438" t="s">
        <v>24</v>
      </c>
      <c r="F438" t="s">
        <v>25</v>
      </c>
      <c r="G438">
        <v>551.48</v>
      </c>
      <c r="H438">
        <v>57.87</v>
      </c>
      <c r="I438">
        <v>4</v>
      </c>
      <c r="J438" t="str">
        <f>TEXT(SalesData[[#This Row],[Order Date]],"mmm")</f>
        <v>Nov</v>
      </c>
      <c r="K438">
        <f>YEAR(SalesData[[#This Row],[Order Date]])</f>
        <v>2025</v>
      </c>
      <c r="L438" s="3">
        <f>SalesData[[#This Row],[Profit]]/SalesData[[#This Row],[Sales]]</f>
        <v>0.10493580909552476</v>
      </c>
    </row>
    <row r="439" spans="1:12">
      <c r="A439" t="s">
        <v>800</v>
      </c>
      <c r="B439" s="2">
        <v>45849</v>
      </c>
      <c r="C439" t="s">
        <v>320</v>
      </c>
      <c r="D439" t="s">
        <v>28</v>
      </c>
      <c r="E439" t="s">
        <v>33</v>
      </c>
      <c r="F439" t="s">
        <v>308</v>
      </c>
      <c r="G439">
        <v>1233.3599999999999</v>
      </c>
      <c r="H439">
        <v>206.42</v>
      </c>
      <c r="I439">
        <v>6</v>
      </c>
      <c r="J439" t="str">
        <f>TEXT(SalesData[[#This Row],[Order Date]],"mmm")</f>
        <v>Jul</v>
      </c>
      <c r="K439">
        <f>YEAR(SalesData[[#This Row],[Order Date]])</f>
        <v>2025</v>
      </c>
      <c r="L439" s="3">
        <f>SalesData[[#This Row],[Profit]]/SalesData[[#This Row],[Sales]]</f>
        <v>0.16736394888759162</v>
      </c>
    </row>
    <row r="440" spans="1:12">
      <c r="A440" t="s">
        <v>801</v>
      </c>
      <c r="B440" s="2">
        <v>45743</v>
      </c>
      <c r="C440" t="s">
        <v>802</v>
      </c>
      <c r="D440" t="s">
        <v>23</v>
      </c>
      <c r="E440" t="s">
        <v>15</v>
      </c>
      <c r="F440" t="s">
        <v>82</v>
      </c>
      <c r="G440">
        <v>43.52</v>
      </c>
      <c r="H440">
        <v>7.23</v>
      </c>
      <c r="I440">
        <v>2</v>
      </c>
      <c r="J440" t="str">
        <f>TEXT(SalesData[[#This Row],[Order Date]],"mmm")</f>
        <v>Mar</v>
      </c>
      <c r="K440">
        <f>YEAR(SalesData[[#This Row],[Order Date]])</f>
        <v>2025</v>
      </c>
      <c r="L440" s="3">
        <f>SalesData[[#This Row],[Profit]]/SalesData[[#This Row],[Sales]]</f>
        <v>0.16613051470588236</v>
      </c>
    </row>
    <row r="441" spans="1:12">
      <c r="A441" t="s">
        <v>803</v>
      </c>
      <c r="B441" s="2">
        <v>45875</v>
      </c>
      <c r="C441" t="s">
        <v>223</v>
      </c>
      <c r="D441" t="s">
        <v>19</v>
      </c>
      <c r="E441" t="s">
        <v>33</v>
      </c>
      <c r="F441" t="s">
        <v>63</v>
      </c>
      <c r="G441">
        <v>4454.46</v>
      </c>
      <c r="H441">
        <v>410.97</v>
      </c>
      <c r="I441">
        <v>6</v>
      </c>
      <c r="J441" t="str">
        <f>TEXT(SalesData[[#This Row],[Order Date]],"mmm")</f>
        <v>Aug</v>
      </c>
      <c r="K441">
        <f>YEAR(SalesData[[#This Row],[Order Date]])</f>
        <v>2025</v>
      </c>
      <c r="L441" s="3">
        <f>SalesData[[#This Row],[Profit]]/SalesData[[#This Row],[Sales]]</f>
        <v>9.2260341320833508E-2</v>
      </c>
    </row>
    <row r="442" spans="1:12">
      <c r="A442" t="s">
        <v>804</v>
      </c>
      <c r="B442" s="2">
        <v>45670</v>
      </c>
      <c r="C442" t="s">
        <v>553</v>
      </c>
      <c r="D442" t="s">
        <v>32</v>
      </c>
      <c r="E442" t="s">
        <v>15</v>
      </c>
      <c r="F442" t="s">
        <v>82</v>
      </c>
      <c r="G442">
        <v>49.72</v>
      </c>
      <c r="H442">
        <v>6.65</v>
      </c>
      <c r="I442">
        <v>2</v>
      </c>
      <c r="J442" t="str">
        <f>TEXT(SalesData[[#This Row],[Order Date]],"mmm")</f>
        <v>Jan</v>
      </c>
      <c r="K442">
        <f>YEAR(SalesData[[#This Row],[Order Date]])</f>
        <v>2025</v>
      </c>
      <c r="L442" s="3">
        <f>SalesData[[#This Row],[Profit]]/SalesData[[#This Row],[Sales]]</f>
        <v>0.13374899436846341</v>
      </c>
    </row>
    <row r="443" spans="1:12">
      <c r="A443" t="s">
        <v>805</v>
      </c>
      <c r="B443" s="2">
        <v>45774</v>
      </c>
      <c r="C443" t="s">
        <v>806</v>
      </c>
      <c r="D443" t="s">
        <v>28</v>
      </c>
      <c r="E443" t="s">
        <v>24</v>
      </c>
      <c r="F443" t="s">
        <v>88</v>
      </c>
      <c r="G443">
        <v>497.64</v>
      </c>
      <c r="H443">
        <v>88.53</v>
      </c>
      <c r="I443">
        <v>4</v>
      </c>
      <c r="J443" t="str">
        <f>TEXT(SalesData[[#This Row],[Order Date]],"mmm")</f>
        <v>Apr</v>
      </c>
      <c r="K443">
        <f>YEAR(SalesData[[#This Row],[Order Date]])</f>
        <v>2025</v>
      </c>
      <c r="L443" s="3">
        <f>SalesData[[#This Row],[Profit]]/SalesData[[#This Row],[Sales]]</f>
        <v>0.17789968652037619</v>
      </c>
    </row>
    <row r="444" spans="1:12">
      <c r="A444" t="s">
        <v>807</v>
      </c>
      <c r="B444" s="2">
        <v>45661</v>
      </c>
      <c r="C444" t="s">
        <v>808</v>
      </c>
      <c r="D444" t="s">
        <v>32</v>
      </c>
      <c r="E444" t="s">
        <v>41</v>
      </c>
      <c r="F444" t="s">
        <v>68</v>
      </c>
      <c r="G444">
        <v>182.7</v>
      </c>
      <c r="H444">
        <v>21.59</v>
      </c>
      <c r="I444">
        <v>1</v>
      </c>
      <c r="J444" t="str">
        <f>TEXT(SalesData[[#This Row],[Order Date]],"mmm")</f>
        <v>Jan</v>
      </c>
      <c r="K444">
        <f>YEAR(SalesData[[#This Row],[Order Date]])</f>
        <v>2025</v>
      </c>
      <c r="L444" s="3">
        <f>SalesData[[#This Row],[Profit]]/SalesData[[#This Row],[Sales]]</f>
        <v>0.11817186644772852</v>
      </c>
    </row>
    <row r="445" spans="1:12">
      <c r="A445" t="s">
        <v>809</v>
      </c>
      <c r="B445" s="2">
        <v>45712</v>
      </c>
      <c r="C445" t="s">
        <v>810</v>
      </c>
      <c r="D445" t="s">
        <v>23</v>
      </c>
      <c r="E445" t="s">
        <v>15</v>
      </c>
      <c r="F445" t="s">
        <v>109</v>
      </c>
      <c r="G445">
        <v>59.52</v>
      </c>
      <c r="H445">
        <v>8.8699999999999992</v>
      </c>
      <c r="I445">
        <v>4</v>
      </c>
      <c r="J445" t="str">
        <f>TEXT(SalesData[[#This Row],[Order Date]],"mmm")</f>
        <v>Feb</v>
      </c>
      <c r="K445">
        <f>YEAR(SalesData[[#This Row],[Order Date]])</f>
        <v>2025</v>
      </c>
      <c r="L445" s="3">
        <f>SalesData[[#This Row],[Profit]]/SalesData[[#This Row],[Sales]]</f>
        <v>0.14902553763440859</v>
      </c>
    </row>
    <row r="446" spans="1:12">
      <c r="A446" t="s">
        <v>811</v>
      </c>
      <c r="B446" s="2">
        <v>45931</v>
      </c>
      <c r="C446" t="s">
        <v>165</v>
      </c>
      <c r="D446" t="s">
        <v>28</v>
      </c>
      <c r="E446" t="s">
        <v>41</v>
      </c>
      <c r="F446" t="s">
        <v>68</v>
      </c>
      <c r="G446">
        <v>723.09</v>
      </c>
      <c r="H446">
        <v>98.35</v>
      </c>
      <c r="I446">
        <v>3</v>
      </c>
      <c r="J446" t="str">
        <f>TEXT(SalesData[[#This Row],[Order Date]],"mmm")</f>
        <v>Oct</v>
      </c>
      <c r="K446">
        <f>YEAR(SalesData[[#This Row],[Order Date]])</f>
        <v>2025</v>
      </c>
      <c r="L446" s="3">
        <f>SalesData[[#This Row],[Profit]]/SalesData[[#This Row],[Sales]]</f>
        <v>0.13601349762823436</v>
      </c>
    </row>
    <row r="447" spans="1:12">
      <c r="A447" t="s">
        <v>812</v>
      </c>
      <c r="B447" s="2">
        <v>45989</v>
      </c>
      <c r="C447" t="s">
        <v>813</v>
      </c>
      <c r="D447" t="s">
        <v>23</v>
      </c>
      <c r="E447" t="s">
        <v>37</v>
      </c>
      <c r="F447" t="s">
        <v>85</v>
      </c>
      <c r="G447">
        <v>9.2799999999999994</v>
      </c>
      <c r="H447">
        <v>1.48</v>
      </c>
      <c r="I447">
        <v>1</v>
      </c>
      <c r="J447" t="str">
        <f>TEXT(SalesData[[#This Row],[Order Date]],"mmm")</f>
        <v>Nov</v>
      </c>
      <c r="K447">
        <f>YEAR(SalesData[[#This Row],[Order Date]])</f>
        <v>2025</v>
      </c>
      <c r="L447" s="3">
        <f>SalesData[[#This Row],[Profit]]/SalesData[[#This Row],[Sales]]</f>
        <v>0.15948275862068967</v>
      </c>
    </row>
    <row r="448" spans="1:12">
      <c r="A448" t="s">
        <v>814</v>
      </c>
      <c r="B448" s="2">
        <v>45701</v>
      </c>
      <c r="C448" t="s">
        <v>310</v>
      </c>
      <c r="D448" t="s">
        <v>14</v>
      </c>
      <c r="E448" t="s">
        <v>15</v>
      </c>
      <c r="F448" t="s">
        <v>20</v>
      </c>
      <c r="G448">
        <v>18.04</v>
      </c>
      <c r="H448">
        <v>1.5</v>
      </c>
      <c r="I448">
        <v>2</v>
      </c>
      <c r="J448" t="str">
        <f>TEXT(SalesData[[#This Row],[Order Date]],"mmm")</f>
        <v>Feb</v>
      </c>
      <c r="K448">
        <f>YEAR(SalesData[[#This Row],[Order Date]])</f>
        <v>2025</v>
      </c>
      <c r="L448" s="3">
        <f>SalesData[[#This Row],[Profit]]/SalesData[[#This Row],[Sales]]</f>
        <v>8.3148558758314867E-2</v>
      </c>
    </row>
    <row r="449" spans="1:12">
      <c r="A449" t="s">
        <v>815</v>
      </c>
      <c r="B449" s="2">
        <v>45757</v>
      </c>
      <c r="C449" t="s">
        <v>816</v>
      </c>
      <c r="D449" t="s">
        <v>23</v>
      </c>
      <c r="E449" t="s">
        <v>37</v>
      </c>
      <c r="F449" t="s">
        <v>194</v>
      </c>
      <c r="G449">
        <v>161.84</v>
      </c>
      <c r="H449">
        <v>17.96</v>
      </c>
      <c r="I449">
        <v>4</v>
      </c>
      <c r="J449" t="str">
        <f>TEXT(SalesData[[#This Row],[Order Date]],"mmm")</f>
        <v>Apr</v>
      </c>
      <c r="K449">
        <f>YEAR(SalesData[[#This Row],[Order Date]])</f>
        <v>2025</v>
      </c>
      <c r="L449" s="3">
        <f>SalesData[[#This Row],[Profit]]/SalesData[[#This Row],[Sales]]</f>
        <v>0.11097380128521997</v>
      </c>
    </row>
    <row r="450" spans="1:12">
      <c r="A450" t="s">
        <v>817</v>
      </c>
      <c r="B450" s="2">
        <v>45786</v>
      </c>
      <c r="C450" t="s">
        <v>633</v>
      </c>
      <c r="D450" t="s">
        <v>23</v>
      </c>
      <c r="E450" t="s">
        <v>33</v>
      </c>
      <c r="F450" t="s">
        <v>308</v>
      </c>
      <c r="G450">
        <v>450.81</v>
      </c>
      <c r="H450">
        <v>86.3</v>
      </c>
      <c r="I450">
        <v>3</v>
      </c>
      <c r="J450" t="str">
        <f>TEXT(SalesData[[#This Row],[Order Date]],"mmm")</f>
        <v>May</v>
      </c>
      <c r="K450">
        <f>YEAR(SalesData[[#This Row],[Order Date]])</f>
        <v>2025</v>
      </c>
      <c r="L450" s="3">
        <f>SalesData[[#This Row],[Profit]]/SalesData[[#This Row],[Sales]]</f>
        <v>0.19143319802133935</v>
      </c>
    </row>
    <row r="451" spans="1:12">
      <c r="A451" t="s">
        <v>818</v>
      </c>
      <c r="B451" s="2">
        <v>45975</v>
      </c>
      <c r="C451" t="s">
        <v>46</v>
      </c>
      <c r="D451" t="s">
        <v>14</v>
      </c>
      <c r="E451" t="s">
        <v>33</v>
      </c>
      <c r="F451" t="s">
        <v>308</v>
      </c>
      <c r="G451">
        <v>3970.55</v>
      </c>
      <c r="H451">
        <v>420.51</v>
      </c>
      <c r="I451">
        <v>5</v>
      </c>
      <c r="J451" t="str">
        <f>TEXT(SalesData[[#This Row],[Order Date]],"mmm")</f>
        <v>Nov</v>
      </c>
      <c r="K451">
        <f>YEAR(SalesData[[#This Row],[Order Date]])</f>
        <v>2025</v>
      </c>
      <c r="L451" s="3">
        <f>SalesData[[#This Row],[Profit]]/SalesData[[#This Row],[Sales]]</f>
        <v>0.10590724206973844</v>
      </c>
    </row>
    <row r="452" spans="1:12">
      <c r="A452" t="s">
        <v>819</v>
      </c>
      <c r="B452" s="2">
        <v>45819</v>
      </c>
      <c r="C452" t="s">
        <v>820</v>
      </c>
      <c r="D452" t="s">
        <v>32</v>
      </c>
      <c r="E452" t="s">
        <v>24</v>
      </c>
      <c r="F452" t="s">
        <v>134</v>
      </c>
      <c r="G452">
        <v>1584.84</v>
      </c>
      <c r="H452">
        <v>296.72000000000003</v>
      </c>
      <c r="I452">
        <v>6</v>
      </c>
      <c r="J452" t="str">
        <f>TEXT(SalesData[[#This Row],[Order Date]],"mmm")</f>
        <v>Jun</v>
      </c>
      <c r="K452">
        <f>YEAR(SalesData[[#This Row],[Order Date]])</f>
        <v>2025</v>
      </c>
      <c r="L452" s="3">
        <f>SalesData[[#This Row],[Profit]]/SalesData[[#This Row],[Sales]]</f>
        <v>0.18722394689684765</v>
      </c>
    </row>
    <row r="453" spans="1:12">
      <c r="A453" t="s">
        <v>821</v>
      </c>
      <c r="B453" s="2">
        <v>45726</v>
      </c>
      <c r="C453" t="s">
        <v>726</v>
      </c>
      <c r="D453" t="s">
        <v>28</v>
      </c>
      <c r="E453" t="s">
        <v>33</v>
      </c>
      <c r="F453" t="s">
        <v>308</v>
      </c>
      <c r="G453">
        <v>1376.4</v>
      </c>
      <c r="H453">
        <v>135.58000000000001</v>
      </c>
      <c r="I453">
        <v>3</v>
      </c>
      <c r="J453" t="str">
        <f>TEXT(SalesData[[#This Row],[Order Date]],"mmm")</f>
        <v>Mar</v>
      </c>
      <c r="K453">
        <f>YEAR(SalesData[[#This Row],[Order Date]])</f>
        <v>2025</v>
      </c>
      <c r="L453" s="3">
        <f>SalesData[[#This Row],[Profit]]/SalesData[[#This Row],[Sales]]</f>
        <v>9.8503342051729156E-2</v>
      </c>
    </row>
    <row r="454" spans="1:12">
      <c r="A454" t="s">
        <v>822</v>
      </c>
      <c r="B454" s="2">
        <v>45699</v>
      </c>
      <c r="C454" t="s">
        <v>823</v>
      </c>
      <c r="D454" t="s">
        <v>19</v>
      </c>
      <c r="E454" t="s">
        <v>37</v>
      </c>
      <c r="F454" t="s">
        <v>85</v>
      </c>
      <c r="G454">
        <v>136.02000000000001</v>
      </c>
      <c r="H454">
        <v>26.39</v>
      </c>
      <c r="I454">
        <v>3</v>
      </c>
      <c r="J454" t="str">
        <f>TEXT(SalesData[[#This Row],[Order Date]],"mmm")</f>
        <v>Feb</v>
      </c>
      <c r="K454">
        <f>YEAR(SalesData[[#This Row],[Order Date]])</f>
        <v>2025</v>
      </c>
      <c r="L454" s="3">
        <f>SalesData[[#This Row],[Profit]]/SalesData[[#This Row],[Sales]]</f>
        <v>0.19401558594324364</v>
      </c>
    </row>
    <row r="455" spans="1:12">
      <c r="A455" t="s">
        <v>824</v>
      </c>
      <c r="B455" s="2">
        <v>45667</v>
      </c>
      <c r="C455" t="s">
        <v>825</v>
      </c>
      <c r="D455" t="s">
        <v>32</v>
      </c>
      <c r="E455" t="s">
        <v>41</v>
      </c>
      <c r="F455" t="s">
        <v>68</v>
      </c>
      <c r="G455">
        <v>792.28</v>
      </c>
      <c r="H455">
        <v>121.37</v>
      </c>
      <c r="I455">
        <v>4</v>
      </c>
      <c r="J455" t="str">
        <f>TEXT(SalesData[[#This Row],[Order Date]],"mmm")</f>
        <v>Jan</v>
      </c>
      <c r="K455">
        <f>YEAR(SalesData[[#This Row],[Order Date]])</f>
        <v>2025</v>
      </c>
      <c r="L455" s="3">
        <f>SalesData[[#This Row],[Profit]]/SalesData[[#This Row],[Sales]]</f>
        <v>0.15319079113444742</v>
      </c>
    </row>
    <row r="456" spans="1:12">
      <c r="A456" t="s">
        <v>826</v>
      </c>
      <c r="B456" s="2">
        <v>45791</v>
      </c>
      <c r="C456" t="s">
        <v>154</v>
      </c>
      <c r="D456" t="s">
        <v>28</v>
      </c>
      <c r="E456" t="s">
        <v>41</v>
      </c>
      <c r="F456" t="s">
        <v>158</v>
      </c>
      <c r="G456">
        <v>339.93</v>
      </c>
      <c r="H456">
        <v>109.75</v>
      </c>
      <c r="I456">
        <v>3</v>
      </c>
      <c r="J456" t="str">
        <f>TEXT(SalesData[[#This Row],[Order Date]],"mmm")</f>
        <v>May</v>
      </c>
      <c r="K456">
        <f>YEAR(SalesData[[#This Row],[Order Date]])</f>
        <v>2025</v>
      </c>
      <c r="L456" s="3">
        <f>SalesData[[#This Row],[Profit]]/SalesData[[#This Row],[Sales]]</f>
        <v>0.32286058894478276</v>
      </c>
    </row>
    <row r="457" spans="1:12">
      <c r="A457" t="s">
        <v>827</v>
      </c>
      <c r="B457" s="2">
        <v>45806</v>
      </c>
      <c r="C457" t="s">
        <v>828</v>
      </c>
      <c r="D457" t="s">
        <v>23</v>
      </c>
      <c r="E457" t="s">
        <v>33</v>
      </c>
      <c r="F457" t="s">
        <v>63</v>
      </c>
      <c r="G457">
        <v>1415.58</v>
      </c>
      <c r="H457">
        <v>272.72000000000003</v>
      </c>
      <c r="I457">
        <v>3</v>
      </c>
      <c r="J457" t="str">
        <f>TEXT(SalesData[[#This Row],[Order Date]],"mmm")</f>
        <v>May</v>
      </c>
      <c r="K457">
        <f>YEAR(SalesData[[#This Row],[Order Date]])</f>
        <v>2025</v>
      </c>
      <c r="L457" s="3">
        <f>SalesData[[#This Row],[Profit]]/SalesData[[#This Row],[Sales]]</f>
        <v>0.19265601378940084</v>
      </c>
    </row>
    <row r="458" spans="1:12">
      <c r="A458" t="s">
        <v>829</v>
      </c>
      <c r="B458" s="2">
        <v>45972</v>
      </c>
      <c r="C458" t="s">
        <v>830</v>
      </c>
      <c r="D458" t="s">
        <v>23</v>
      </c>
      <c r="E458" t="s">
        <v>15</v>
      </c>
      <c r="F458" t="s">
        <v>16</v>
      </c>
      <c r="G458">
        <v>48.66</v>
      </c>
      <c r="H458">
        <v>8.8000000000000007</v>
      </c>
      <c r="I458">
        <v>2</v>
      </c>
      <c r="J458" t="str">
        <f>TEXT(SalesData[[#This Row],[Order Date]],"mmm")</f>
        <v>Nov</v>
      </c>
      <c r="K458">
        <f>YEAR(SalesData[[#This Row],[Order Date]])</f>
        <v>2025</v>
      </c>
      <c r="L458" s="3">
        <f>SalesData[[#This Row],[Profit]]/SalesData[[#This Row],[Sales]]</f>
        <v>0.18084669132757913</v>
      </c>
    </row>
    <row r="459" spans="1:12">
      <c r="A459" t="s">
        <v>831</v>
      </c>
      <c r="B459" s="2">
        <v>45905</v>
      </c>
      <c r="C459" t="s">
        <v>272</v>
      </c>
      <c r="D459" t="s">
        <v>19</v>
      </c>
      <c r="E459" t="s">
        <v>41</v>
      </c>
      <c r="F459" t="s">
        <v>158</v>
      </c>
      <c r="G459">
        <v>84.48</v>
      </c>
      <c r="H459">
        <v>13.39</v>
      </c>
      <c r="I459">
        <v>1</v>
      </c>
      <c r="J459" t="str">
        <f>TEXT(SalesData[[#This Row],[Order Date]],"mmm")</f>
        <v>Sep</v>
      </c>
      <c r="K459">
        <f>YEAR(SalesData[[#This Row],[Order Date]])</f>
        <v>2025</v>
      </c>
      <c r="L459" s="3">
        <f>SalesData[[#This Row],[Profit]]/SalesData[[#This Row],[Sales]]</f>
        <v>0.15849905303030304</v>
      </c>
    </row>
    <row r="460" spans="1:12">
      <c r="A460" t="s">
        <v>832</v>
      </c>
      <c r="B460" s="2">
        <v>45923</v>
      </c>
      <c r="C460" t="s">
        <v>833</v>
      </c>
      <c r="D460" t="s">
        <v>28</v>
      </c>
      <c r="E460" t="s">
        <v>33</v>
      </c>
      <c r="F460" t="s">
        <v>63</v>
      </c>
      <c r="G460">
        <v>74.319999999999993</v>
      </c>
      <c r="H460">
        <v>14.14</v>
      </c>
      <c r="I460">
        <v>1</v>
      </c>
      <c r="J460" t="str">
        <f>TEXT(SalesData[[#This Row],[Order Date]],"mmm")</f>
        <v>Sep</v>
      </c>
      <c r="K460">
        <f>YEAR(SalesData[[#This Row],[Order Date]])</f>
        <v>2025</v>
      </c>
      <c r="L460" s="3">
        <f>SalesData[[#This Row],[Profit]]/SalesData[[#This Row],[Sales]]</f>
        <v>0.19025834230355224</v>
      </c>
    </row>
    <row r="461" spans="1:12">
      <c r="A461" t="s">
        <v>834</v>
      </c>
      <c r="B461" s="2">
        <v>45924</v>
      </c>
      <c r="C461" t="s">
        <v>435</v>
      </c>
      <c r="D461" t="s">
        <v>14</v>
      </c>
      <c r="E461" t="s">
        <v>33</v>
      </c>
      <c r="F461" t="s">
        <v>34</v>
      </c>
      <c r="G461">
        <v>727.86</v>
      </c>
      <c r="H461">
        <v>105.07</v>
      </c>
      <c r="I461">
        <v>2</v>
      </c>
      <c r="J461" t="str">
        <f>TEXT(SalesData[[#This Row],[Order Date]],"mmm")</f>
        <v>Sep</v>
      </c>
      <c r="K461">
        <f>YEAR(SalesData[[#This Row],[Order Date]])</f>
        <v>2025</v>
      </c>
      <c r="L461" s="3">
        <f>SalesData[[#This Row],[Profit]]/SalesData[[#This Row],[Sales]]</f>
        <v>0.14435468359299863</v>
      </c>
    </row>
    <row r="462" spans="1:12">
      <c r="A462" t="s">
        <v>835</v>
      </c>
      <c r="B462" s="2">
        <v>45697</v>
      </c>
      <c r="C462" t="s">
        <v>101</v>
      </c>
      <c r="D462" t="s">
        <v>28</v>
      </c>
      <c r="E462" t="s">
        <v>37</v>
      </c>
      <c r="F462" t="s">
        <v>85</v>
      </c>
      <c r="G462">
        <v>136.6</v>
      </c>
      <c r="H462">
        <v>30.41</v>
      </c>
      <c r="I462">
        <v>5</v>
      </c>
      <c r="J462" t="str">
        <f>TEXT(SalesData[[#This Row],[Order Date]],"mmm")</f>
        <v>Feb</v>
      </c>
      <c r="K462">
        <f>YEAR(SalesData[[#This Row],[Order Date]])</f>
        <v>2025</v>
      </c>
      <c r="L462" s="3">
        <f>SalesData[[#This Row],[Profit]]/SalesData[[#This Row],[Sales]]</f>
        <v>0.2226207906295754</v>
      </c>
    </row>
    <row r="463" spans="1:12">
      <c r="A463" t="s">
        <v>836</v>
      </c>
      <c r="B463" s="2">
        <v>45904</v>
      </c>
      <c r="C463" t="s">
        <v>837</v>
      </c>
      <c r="D463" t="s">
        <v>32</v>
      </c>
      <c r="E463" t="s">
        <v>33</v>
      </c>
      <c r="F463" t="s">
        <v>170</v>
      </c>
      <c r="G463">
        <v>729.68</v>
      </c>
      <c r="H463">
        <v>67.94</v>
      </c>
      <c r="I463">
        <v>4</v>
      </c>
      <c r="J463" t="str">
        <f>TEXT(SalesData[[#This Row],[Order Date]],"mmm")</f>
        <v>Sep</v>
      </c>
      <c r="K463">
        <f>YEAR(SalesData[[#This Row],[Order Date]])</f>
        <v>2025</v>
      </c>
      <c r="L463" s="3">
        <f>SalesData[[#This Row],[Profit]]/SalesData[[#This Row],[Sales]]</f>
        <v>9.3109308189891465E-2</v>
      </c>
    </row>
    <row r="464" spans="1:12">
      <c r="A464" t="s">
        <v>838</v>
      </c>
      <c r="B464" s="2">
        <v>45766</v>
      </c>
      <c r="C464" t="s">
        <v>403</v>
      </c>
      <c r="D464" t="s">
        <v>19</v>
      </c>
      <c r="E464" t="s">
        <v>24</v>
      </c>
      <c r="F464" t="s">
        <v>25</v>
      </c>
      <c r="G464">
        <v>576.05999999999995</v>
      </c>
      <c r="H464">
        <v>151.06</v>
      </c>
      <c r="I464">
        <v>6</v>
      </c>
      <c r="J464" t="str">
        <f>TEXT(SalesData[[#This Row],[Order Date]],"mmm")</f>
        <v>Apr</v>
      </c>
      <c r="K464">
        <f>YEAR(SalesData[[#This Row],[Order Date]])</f>
        <v>2025</v>
      </c>
      <c r="L464" s="3">
        <f>SalesData[[#This Row],[Profit]]/SalesData[[#This Row],[Sales]]</f>
        <v>0.26222962885810508</v>
      </c>
    </row>
    <row r="465" spans="1:12">
      <c r="A465" t="s">
        <v>839</v>
      </c>
      <c r="B465" s="2">
        <v>45904</v>
      </c>
      <c r="C465" t="s">
        <v>90</v>
      </c>
      <c r="D465" t="s">
        <v>28</v>
      </c>
      <c r="E465" t="s">
        <v>15</v>
      </c>
      <c r="F465" t="s">
        <v>16</v>
      </c>
      <c r="G465">
        <v>154.97999999999999</v>
      </c>
      <c r="H465">
        <v>8.27</v>
      </c>
      <c r="I465">
        <v>6</v>
      </c>
      <c r="J465" t="str">
        <f>TEXT(SalesData[[#This Row],[Order Date]],"mmm")</f>
        <v>Sep</v>
      </c>
      <c r="K465">
        <f>YEAR(SalesData[[#This Row],[Order Date]])</f>
        <v>2025</v>
      </c>
      <c r="L465" s="3">
        <f>SalesData[[#This Row],[Profit]]/SalesData[[#This Row],[Sales]]</f>
        <v>5.3361724093431415E-2</v>
      </c>
    </row>
    <row r="466" spans="1:12">
      <c r="A466" t="s">
        <v>840</v>
      </c>
      <c r="B466" s="2">
        <v>45951</v>
      </c>
      <c r="C466" t="s">
        <v>841</v>
      </c>
      <c r="D466" t="s">
        <v>19</v>
      </c>
      <c r="E466" t="s">
        <v>41</v>
      </c>
      <c r="F466" t="s">
        <v>42</v>
      </c>
      <c r="G466">
        <v>290.2</v>
      </c>
      <c r="H466">
        <v>41.09</v>
      </c>
      <c r="I466">
        <v>5</v>
      </c>
      <c r="J466" t="str">
        <f>TEXT(SalesData[[#This Row],[Order Date]],"mmm")</f>
        <v>Oct</v>
      </c>
      <c r="K466">
        <f>YEAR(SalesData[[#This Row],[Order Date]])</f>
        <v>2025</v>
      </c>
      <c r="L466" s="3">
        <f>SalesData[[#This Row],[Profit]]/SalesData[[#This Row],[Sales]]</f>
        <v>0.14159200551343903</v>
      </c>
    </row>
    <row r="467" spans="1:12">
      <c r="A467" t="s">
        <v>842</v>
      </c>
      <c r="B467" s="2">
        <v>45922</v>
      </c>
      <c r="C467" t="s">
        <v>287</v>
      </c>
      <c r="D467" t="s">
        <v>23</v>
      </c>
      <c r="E467" t="s">
        <v>41</v>
      </c>
      <c r="F467" t="s">
        <v>58</v>
      </c>
      <c r="G467">
        <v>73.73</v>
      </c>
      <c r="H467">
        <v>18.55</v>
      </c>
      <c r="I467">
        <v>1</v>
      </c>
      <c r="J467" t="str">
        <f>TEXT(SalesData[[#This Row],[Order Date]],"mmm")</f>
        <v>Sep</v>
      </c>
      <c r="K467">
        <f>YEAR(SalesData[[#This Row],[Order Date]])</f>
        <v>2025</v>
      </c>
      <c r="L467" s="3">
        <f>SalesData[[#This Row],[Profit]]/SalesData[[#This Row],[Sales]]</f>
        <v>0.25159365251593652</v>
      </c>
    </row>
    <row r="468" spans="1:12">
      <c r="A468" t="s">
        <v>843</v>
      </c>
      <c r="B468" s="2">
        <v>45904</v>
      </c>
      <c r="C468" t="s">
        <v>844</v>
      </c>
      <c r="D468" t="s">
        <v>28</v>
      </c>
      <c r="E468" t="s">
        <v>41</v>
      </c>
      <c r="F468" t="s">
        <v>68</v>
      </c>
      <c r="G468">
        <v>330.44</v>
      </c>
      <c r="H468">
        <v>75.239999999999995</v>
      </c>
      <c r="I468">
        <v>2</v>
      </c>
      <c r="J468" t="str">
        <f>TEXT(SalesData[[#This Row],[Order Date]],"mmm")</f>
        <v>Sep</v>
      </c>
      <c r="K468">
        <f>YEAR(SalesData[[#This Row],[Order Date]])</f>
        <v>2025</v>
      </c>
      <c r="L468" s="3">
        <f>SalesData[[#This Row],[Profit]]/SalesData[[#This Row],[Sales]]</f>
        <v>0.2276964047936085</v>
      </c>
    </row>
    <row r="469" spans="1:12">
      <c r="A469" t="s">
        <v>845</v>
      </c>
      <c r="B469" s="2">
        <v>46009</v>
      </c>
      <c r="C469" t="s">
        <v>846</v>
      </c>
      <c r="D469" t="s">
        <v>23</v>
      </c>
      <c r="E469" t="s">
        <v>33</v>
      </c>
      <c r="F469" t="s">
        <v>170</v>
      </c>
      <c r="G469">
        <v>1683</v>
      </c>
      <c r="H469">
        <v>192.53</v>
      </c>
      <c r="I469">
        <v>4</v>
      </c>
      <c r="J469" t="str">
        <f>TEXT(SalesData[[#This Row],[Order Date]],"mmm")</f>
        <v>Dec</v>
      </c>
      <c r="K469">
        <f>YEAR(SalesData[[#This Row],[Order Date]])</f>
        <v>2025</v>
      </c>
      <c r="L469" s="3">
        <f>SalesData[[#This Row],[Profit]]/SalesData[[#This Row],[Sales]]</f>
        <v>0.11439691027926321</v>
      </c>
    </row>
    <row r="470" spans="1:12">
      <c r="A470" t="s">
        <v>847</v>
      </c>
      <c r="B470" s="2">
        <v>45916</v>
      </c>
      <c r="C470" t="s">
        <v>129</v>
      </c>
      <c r="D470" t="s">
        <v>19</v>
      </c>
      <c r="E470" t="s">
        <v>41</v>
      </c>
      <c r="F470" t="s">
        <v>158</v>
      </c>
      <c r="G470">
        <v>911.44</v>
      </c>
      <c r="H470">
        <v>227.82</v>
      </c>
      <c r="I470">
        <v>4</v>
      </c>
      <c r="J470" t="str">
        <f>TEXT(SalesData[[#This Row],[Order Date]],"mmm")</f>
        <v>Sep</v>
      </c>
      <c r="K470">
        <f>YEAR(SalesData[[#This Row],[Order Date]])</f>
        <v>2025</v>
      </c>
      <c r="L470" s="3">
        <f>SalesData[[#This Row],[Profit]]/SalesData[[#This Row],[Sales]]</f>
        <v>0.24995611340296672</v>
      </c>
    </row>
    <row r="471" spans="1:12">
      <c r="A471" t="s">
        <v>848</v>
      </c>
      <c r="B471" s="2">
        <v>45930</v>
      </c>
      <c r="C471" t="s">
        <v>849</v>
      </c>
      <c r="D471" t="s">
        <v>32</v>
      </c>
      <c r="E471" t="s">
        <v>33</v>
      </c>
      <c r="F471" t="s">
        <v>170</v>
      </c>
      <c r="G471">
        <v>2518.9499999999998</v>
      </c>
      <c r="H471">
        <v>202.03</v>
      </c>
      <c r="I471">
        <v>5</v>
      </c>
      <c r="J471" t="str">
        <f>TEXT(SalesData[[#This Row],[Order Date]],"mmm")</f>
        <v>Sep</v>
      </c>
      <c r="K471">
        <f>YEAR(SalesData[[#This Row],[Order Date]])</f>
        <v>2025</v>
      </c>
      <c r="L471" s="3">
        <f>SalesData[[#This Row],[Profit]]/SalesData[[#This Row],[Sales]]</f>
        <v>8.0204053276166656E-2</v>
      </c>
    </row>
    <row r="472" spans="1:12">
      <c r="A472" t="s">
        <v>850</v>
      </c>
      <c r="B472" s="2">
        <v>46005</v>
      </c>
      <c r="C472" t="s">
        <v>160</v>
      </c>
      <c r="D472" t="s">
        <v>23</v>
      </c>
      <c r="E472" t="s">
        <v>24</v>
      </c>
      <c r="F472" t="s">
        <v>25</v>
      </c>
      <c r="G472">
        <v>1366.43</v>
      </c>
      <c r="H472">
        <v>355.9</v>
      </c>
      <c r="I472">
        <v>6</v>
      </c>
      <c r="J472" t="str">
        <f>TEXT(SalesData[[#This Row],[Order Date]],"mmm")</f>
        <v>Dec</v>
      </c>
      <c r="K472">
        <f>YEAR(SalesData[[#This Row],[Order Date]])</f>
        <v>2025</v>
      </c>
      <c r="L472" s="3">
        <f>SalesData[[#This Row],[Profit]]/SalesData[[#This Row],[Sales]]</f>
        <v>0.26045973814977713</v>
      </c>
    </row>
    <row r="473" spans="1:12">
      <c r="A473" t="s">
        <v>851</v>
      </c>
      <c r="B473" s="2">
        <v>45853</v>
      </c>
      <c r="C473" t="s">
        <v>247</v>
      </c>
      <c r="D473" t="s">
        <v>23</v>
      </c>
      <c r="E473" t="s">
        <v>15</v>
      </c>
      <c r="F473" t="s">
        <v>16</v>
      </c>
      <c r="G473">
        <v>50.79</v>
      </c>
      <c r="H473">
        <v>4.3099999999999996</v>
      </c>
      <c r="I473">
        <v>3</v>
      </c>
      <c r="J473" t="str">
        <f>TEXT(SalesData[[#This Row],[Order Date]],"mmm")</f>
        <v>Jul</v>
      </c>
      <c r="K473">
        <f>YEAR(SalesData[[#This Row],[Order Date]])</f>
        <v>2025</v>
      </c>
      <c r="L473" s="3">
        <f>SalesData[[#This Row],[Profit]]/SalesData[[#This Row],[Sales]]</f>
        <v>8.4859224256743443E-2</v>
      </c>
    </row>
    <row r="474" spans="1:12">
      <c r="A474" t="s">
        <v>852</v>
      </c>
      <c r="B474" s="2">
        <v>45803</v>
      </c>
      <c r="C474" t="s">
        <v>853</v>
      </c>
      <c r="D474" t="s">
        <v>28</v>
      </c>
      <c r="E474" t="s">
        <v>24</v>
      </c>
      <c r="F474" t="s">
        <v>25</v>
      </c>
      <c r="G474">
        <v>1592.4</v>
      </c>
      <c r="H474">
        <v>161.51</v>
      </c>
      <c r="I474">
        <v>6</v>
      </c>
      <c r="J474" t="str">
        <f>TEXT(SalesData[[#This Row],[Order Date]],"mmm")</f>
        <v>May</v>
      </c>
      <c r="K474">
        <f>YEAR(SalesData[[#This Row],[Order Date]])</f>
        <v>2025</v>
      </c>
      <c r="L474" s="3">
        <f>SalesData[[#This Row],[Profit]]/SalesData[[#This Row],[Sales]]</f>
        <v>0.10142552122582264</v>
      </c>
    </row>
    <row r="475" spans="1:12">
      <c r="A475" t="s">
        <v>854</v>
      </c>
      <c r="B475" s="2">
        <v>45924</v>
      </c>
      <c r="C475" t="s">
        <v>714</v>
      </c>
      <c r="D475" t="s">
        <v>19</v>
      </c>
      <c r="E475" t="s">
        <v>41</v>
      </c>
      <c r="F475" t="s">
        <v>58</v>
      </c>
      <c r="G475">
        <v>426.04</v>
      </c>
      <c r="H475">
        <v>59.09</v>
      </c>
      <c r="I475">
        <v>4</v>
      </c>
      <c r="J475" t="str">
        <f>TEXT(SalesData[[#This Row],[Order Date]],"mmm")</f>
        <v>Sep</v>
      </c>
      <c r="K475">
        <f>YEAR(SalesData[[#This Row],[Order Date]])</f>
        <v>2025</v>
      </c>
      <c r="L475" s="3">
        <f>SalesData[[#This Row],[Profit]]/SalesData[[#This Row],[Sales]]</f>
        <v>0.13869589709886396</v>
      </c>
    </row>
    <row r="476" spans="1:12">
      <c r="A476" t="s">
        <v>855</v>
      </c>
      <c r="B476" s="2">
        <v>45787</v>
      </c>
      <c r="C476" t="s">
        <v>856</v>
      </c>
      <c r="D476" t="s">
        <v>28</v>
      </c>
      <c r="E476" t="s">
        <v>33</v>
      </c>
      <c r="F476" t="s">
        <v>34</v>
      </c>
      <c r="G476">
        <v>2678.85</v>
      </c>
      <c r="H476">
        <v>395.31</v>
      </c>
      <c r="I476">
        <v>3</v>
      </c>
      <c r="J476" t="str">
        <f>TEXT(SalesData[[#This Row],[Order Date]],"mmm")</f>
        <v>May</v>
      </c>
      <c r="K476">
        <f>YEAR(SalesData[[#This Row],[Order Date]])</f>
        <v>2025</v>
      </c>
      <c r="L476" s="3">
        <f>SalesData[[#This Row],[Profit]]/SalesData[[#This Row],[Sales]]</f>
        <v>0.14756705302648526</v>
      </c>
    </row>
    <row r="477" spans="1:12">
      <c r="A477" t="s">
        <v>857</v>
      </c>
      <c r="B477" s="2">
        <v>45940</v>
      </c>
      <c r="C477" t="s">
        <v>393</v>
      </c>
      <c r="D477" t="s">
        <v>28</v>
      </c>
      <c r="E477" t="s">
        <v>15</v>
      </c>
      <c r="F477" t="s">
        <v>20</v>
      </c>
      <c r="G477">
        <v>85.45</v>
      </c>
      <c r="H477">
        <v>16.940000000000001</v>
      </c>
      <c r="I477">
        <v>5</v>
      </c>
      <c r="J477" t="str">
        <f>TEXT(SalesData[[#This Row],[Order Date]],"mmm")</f>
        <v>Oct</v>
      </c>
      <c r="K477">
        <f>YEAR(SalesData[[#This Row],[Order Date]])</f>
        <v>2025</v>
      </c>
      <c r="L477" s="3">
        <f>SalesData[[#This Row],[Profit]]/SalesData[[#This Row],[Sales]]</f>
        <v>0.19824458747805734</v>
      </c>
    </row>
    <row r="478" spans="1:12">
      <c r="A478" t="s">
        <v>858</v>
      </c>
      <c r="B478" s="2">
        <v>46019</v>
      </c>
      <c r="C478" t="s">
        <v>859</v>
      </c>
      <c r="D478" t="s">
        <v>32</v>
      </c>
      <c r="E478" t="s">
        <v>41</v>
      </c>
      <c r="F478" t="s">
        <v>71</v>
      </c>
      <c r="G478">
        <v>1617.69</v>
      </c>
      <c r="H478">
        <v>367.35</v>
      </c>
      <c r="I478">
        <v>6</v>
      </c>
      <c r="J478" t="str">
        <f>TEXT(SalesData[[#This Row],[Order Date]],"mmm")</f>
        <v>Dec</v>
      </c>
      <c r="K478">
        <f>YEAR(SalesData[[#This Row],[Order Date]])</f>
        <v>2025</v>
      </c>
      <c r="L478" s="3">
        <f>SalesData[[#This Row],[Profit]]/SalesData[[#This Row],[Sales]]</f>
        <v>0.22708306288596702</v>
      </c>
    </row>
    <row r="479" spans="1:12">
      <c r="A479" t="s">
        <v>860</v>
      </c>
      <c r="B479" s="2">
        <v>45939</v>
      </c>
      <c r="C479" t="s">
        <v>546</v>
      </c>
      <c r="D479" t="s">
        <v>19</v>
      </c>
      <c r="E479" t="s">
        <v>24</v>
      </c>
      <c r="F479" t="s">
        <v>25</v>
      </c>
      <c r="G479">
        <v>291.67</v>
      </c>
      <c r="H479">
        <v>56.68</v>
      </c>
      <c r="I479">
        <v>1</v>
      </c>
      <c r="J479" t="str">
        <f>TEXT(SalesData[[#This Row],[Order Date]],"mmm")</f>
        <v>Oct</v>
      </c>
      <c r="K479">
        <f>YEAR(SalesData[[#This Row],[Order Date]])</f>
        <v>2025</v>
      </c>
      <c r="L479" s="3">
        <f>SalesData[[#This Row],[Profit]]/SalesData[[#This Row],[Sales]]</f>
        <v>0.1943292076661981</v>
      </c>
    </row>
    <row r="480" spans="1:12">
      <c r="A480" t="s">
        <v>861</v>
      </c>
      <c r="B480" s="2">
        <v>45703</v>
      </c>
      <c r="C480" t="s">
        <v>862</v>
      </c>
      <c r="D480" t="s">
        <v>19</v>
      </c>
      <c r="E480" t="s">
        <v>24</v>
      </c>
      <c r="F480" t="s">
        <v>55</v>
      </c>
      <c r="G480">
        <v>259.08</v>
      </c>
      <c r="H480">
        <v>74.13</v>
      </c>
      <c r="I480">
        <v>1</v>
      </c>
      <c r="J480" t="str">
        <f>TEXT(SalesData[[#This Row],[Order Date]],"mmm")</f>
        <v>Feb</v>
      </c>
      <c r="K480">
        <f>YEAR(SalesData[[#This Row],[Order Date]])</f>
        <v>2025</v>
      </c>
      <c r="L480" s="3">
        <f>SalesData[[#This Row],[Profit]]/SalesData[[#This Row],[Sales]]</f>
        <v>0.2861278369615563</v>
      </c>
    </row>
    <row r="481" spans="1:12">
      <c r="A481" t="s">
        <v>863</v>
      </c>
      <c r="B481" s="2">
        <v>45993</v>
      </c>
      <c r="C481" t="s">
        <v>864</v>
      </c>
      <c r="D481" t="s">
        <v>23</v>
      </c>
      <c r="E481" t="s">
        <v>15</v>
      </c>
      <c r="F481" t="s">
        <v>16</v>
      </c>
      <c r="G481">
        <v>114.91</v>
      </c>
      <c r="H481">
        <v>20.41</v>
      </c>
      <c r="I481">
        <v>6</v>
      </c>
      <c r="J481" t="str">
        <f>TEXT(SalesData[[#This Row],[Order Date]],"mmm")</f>
        <v>Dec</v>
      </c>
      <c r="K481">
        <f>YEAR(SalesData[[#This Row],[Order Date]])</f>
        <v>2025</v>
      </c>
      <c r="L481" s="3">
        <f>SalesData[[#This Row],[Profit]]/SalesData[[#This Row],[Sales]]</f>
        <v>0.17761726568618919</v>
      </c>
    </row>
    <row r="482" spans="1:12">
      <c r="A482" t="s">
        <v>865</v>
      </c>
      <c r="B482" s="2">
        <v>45923</v>
      </c>
      <c r="C482" t="s">
        <v>310</v>
      </c>
      <c r="D482" t="s">
        <v>32</v>
      </c>
      <c r="E482" t="s">
        <v>41</v>
      </c>
      <c r="F482" t="s">
        <v>68</v>
      </c>
      <c r="G482">
        <v>910.75</v>
      </c>
      <c r="H482">
        <v>231.15</v>
      </c>
      <c r="I482">
        <v>5</v>
      </c>
      <c r="J482" t="str">
        <f>TEXT(SalesData[[#This Row],[Order Date]],"mmm")</f>
        <v>Sep</v>
      </c>
      <c r="K482">
        <f>YEAR(SalesData[[#This Row],[Order Date]])</f>
        <v>2025</v>
      </c>
      <c r="L482" s="3">
        <f>SalesData[[#This Row],[Profit]]/SalesData[[#This Row],[Sales]]</f>
        <v>0.25380181169365906</v>
      </c>
    </row>
    <row r="483" spans="1:12">
      <c r="A483" t="s">
        <v>866</v>
      </c>
      <c r="B483" s="2">
        <v>45842</v>
      </c>
      <c r="C483" t="s">
        <v>867</v>
      </c>
      <c r="D483" t="s">
        <v>19</v>
      </c>
      <c r="E483" t="s">
        <v>15</v>
      </c>
      <c r="F483" t="s">
        <v>29</v>
      </c>
      <c r="G483">
        <v>55.32</v>
      </c>
      <c r="H483">
        <v>6.04</v>
      </c>
      <c r="I483">
        <v>4</v>
      </c>
      <c r="J483" t="str">
        <f>TEXT(SalesData[[#This Row],[Order Date]],"mmm")</f>
        <v>Jul</v>
      </c>
      <c r="K483">
        <f>YEAR(SalesData[[#This Row],[Order Date]])</f>
        <v>2025</v>
      </c>
      <c r="L483" s="3">
        <f>SalesData[[#This Row],[Profit]]/SalesData[[#This Row],[Sales]]</f>
        <v>0.10918293564714389</v>
      </c>
    </row>
    <row r="484" spans="1:12">
      <c r="A484" t="s">
        <v>868</v>
      </c>
      <c r="B484" s="2">
        <v>45923</v>
      </c>
      <c r="C484" t="s">
        <v>18</v>
      </c>
      <c r="D484" t="s">
        <v>32</v>
      </c>
      <c r="E484" t="s">
        <v>33</v>
      </c>
      <c r="F484" t="s">
        <v>34</v>
      </c>
      <c r="G484">
        <v>1696.8</v>
      </c>
      <c r="H484">
        <v>413.61</v>
      </c>
      <c r="I484">
        <v>5</v>
      </c>
      <c r="J484" t="str">
        <f>TEXT(SalesData[[#This Row],[Order Date]],"mmm")</f>
        <v>Sep</v>
      </c>
      <c r="K484">
        <f>YEAR(SalesData[[#This Row],[Order Date]])</f>
        <v>2025</v>
      </c>
      <c r="L484" s="3">
        <f>SalesData[[#This Row],[Profit]]/SalesData[[#This Row],[Sales]]</f>
        <v>0.24375884016973126</v>
      </c>
    </row>
    <row r="485" spans="1:12">
      <c r="A485" t="s">
        <v>869</v>
      </c>
      <c r="B485" s="2">
        <v>45968</v>
      </c>
      <c r="C485" t="s">
        <v>650</v>
      </c>
      <c r="D485" t="s">
        <v>28</v>
      </c>
      <c r="E485" t="s">
        <v>33</v>
      </c>
      <c r="F485" t="s">
        <v>308</v>
      </c>
      <c r="G485">
        <v>883.23</v>
      </c>
      <c r="H485">
        <v>81.53</v>
      </c>
      <c r="I485">
        <v>2</v>
      </c>
      <c r="J485" t="str">
        <f>TEXT(SalesData[[#This Row],[Order Date]],"mmm")</f>
        <v>Nov</v>
      </c>
      <c r="K485">
        <f>YEAR(SalesData[[#This Row],[Order Date]])</f>
        <v>2025</v>
      </c>
      <c r="L485" s="3">
        <f>SalesData[[#This Row],[Profit]]/SalesData[[#This Row],[Sales]]</f>
        <v>9.2308911608527791E-2</v>
      </c>
    </row>
    <row r="486" spans="1:12">
      <c r="A486" t="s">
        <v>870</v>
      </c>
      <c r="B486" s="2">
        <v>45717</v>
      </c>
      <c r="C486" t="s">
        <v>871</v>
      </c>
      <c r="D486" t="s">
        <v>14</v>
      </c>
      <c r="E486" t="s">
        <v>37</v>
      </c>
      <c r="F486" t="s">
        <v>194</v>
      </c>
      <c r="G486">
        <v>129.54</v>
      </c>
      <c r="H486">
        <v>31.73</v>
      </c>
      <c r="I486">
        <v>3</v>
      </c>
      <c r="J486" t="str">
        <f>TEXT(SalesData[[#This Row],[Order Date]],"mmm")</f>
        <v>Mar</v>
      </c>
      <c r="K486">
        <f>YEAR(SalesData[[#This Row],[Order Date]])</f>
        <v>2025</v>
      </c>
      <c r="L486" s="3">
        <f>SalesData[[#This Row],[Profit]]/SalesData[[#This Row],[Sales]]</f>
        <v>0.24494364675003863</v>
      </c>
    </row>
    <row r="487" spans="1:12">
      <c r="A487" t="s">
        <v>872</v>
      </c>
      <c r="B487" s="2">
        <v>45782</v>
      </c>
      <c r="C487" t="s">
        <v>493</v>
      </c>
      <c r="D487" t="s">
        <v>28</v>
      </c>
      <c r="E487" t="s">
        <v>41</v>
      </c>
      <c r="F487" t="s">
        <v>68</v>
      </c>
      <c r="G487">
        <v>133.44</v>
      </c>
      <c r="H487">
        <v>21.94</v>
      </c>
      <c r="I487">
        <v>1</v>
      </c>
      <c r="J487" t="str">
        <f>TEXT(SalesData[[#This Row],[Order Date]],"mmm")</f>
        <v>May</v>
      </c>
      <c r="K487">
        <f>YEAR(SalesData[[#This Row],[Order Date]])</f>
        <v>2025</v>
      </c>
      <c r="L487" s="3">
        <f>SalesData[[#This Row],[Profit]]/SalesData[[#This Row],[Sales]]</f>
        <v>0.16441846522781775</v>
      </c>
    </row>
    <row r="488" spans="1:12">
      <c r="A488" t="s">
        <v>873</v>
      </c>
      <c r="B488" s="2">
        <v>45770</v>
      </c>
      <c r="C488" t="s">
        <v>874</v>
      </c>
      <c r="D488" t="s">
        <v>14</v>
      </c>
      <c r="E488" t="s">
        <v>24</v>
      </c>
      <c r="F488" t="s">
        <v>97</v>
      </c>
      <c r="G488">
        <v>983.85</v>
      </c>
      <c r="H488">
        <v>236.29</v>
      </c>
      <c r="I488">
        <v>5</v>
      </c>
      <c r="J488" t="str">
        <f>TEXT(SalesData[[#This Row],[Order Date]],"mmm")</f>
        <v>Apr</v>
      </c>
      <c r="K488">
        <f>YEAR(SalesData[[#This Row],[Order Date]])</f>
        <v>2025</v>
      </c>
      <c r="L488" s="3">
        <f>SalesData[[#This Row],[Profit]]/SalesData[[#This Row],[Sales]]</f>
        <v>0.24016872490725211</v>
      </c>
    </row>
    <row r="489" spans="1:12">
      <c r="A489" t="s">
        <v>875</v>
      </c>
      <c r="B489" s="2">
        <v>45805</v>
      </c>
      <c r="C489" t="s">
        <v>381</v>
      </c>
      <c r="D489" t="s">
        <v>14</v>
      </c>
      <c r="E489" t="s">
        <v>15</v>
      </c>
      <c r="F489" t="s">
        <v>16</v>
      </c>
      <c r="G489">
        <v>51.4</v>
      </c>
      <c r="H489">
        <v>4.26</v>
      </c>
      <c r="I489">
        <v>4</v>
      </c>
      <c r="J489" t="str">
        <f>TEXT(SalesData[[#This Row],[Order Date]],"mmm")</f>
        <v>May</v>
      </c>
      <c r="K489">
        <f>YEAR(SalesData[[#This Row],[Order Date]])</f>
        <v>2025</v>
      </c>
      <c r="L489" s="3">
        <f>SalesData[[#This Row],[Profit]]/SalesData[[#This Row],[Sales]]</f>
        <v>8.2879377431906612E-2</v>
      </c>
    </row>
    <row r="490" spans="1:12">
      <c r="A490" t="s">
        <v>876</v>
      </c>
      <c r="B490" s="2">
        <v>45751</v>
      </c>
      <c r="C490" t="s">
        <v>127</v>
      </c>
      <c r="D490" t="s">
        <v>28</v>
      </c>
      <c r="E490" t="s">
        <v>41</v>
      </c>
      <c r="F490" t="s">
        <v>158</v>
      </c>
      <c r="G490">
        <v>476.76</v>
      </c>
      <c r="H490">
        <v>79.31</v>
      </c>
      <c r="I490">
        <v>6</v>
      </c>
      <c r="J490" t="str">
        <f>TEXT(SalesData[[#This Row],[Order Date]],"mmm")</f>
        <v>Apr</v>
      </c>
      <c r="K490">
        <f>YEAR(SalesData[[#This Row],[Order Date]])</f>
        <v>2025</v>
      </c>
      <c r="L490" s="3">
        <f>SalesData[[#This Row],[Profit]]/SalesData[[#This Row],[Sales]]</f>
        <v>0.1663520429566239</v>
      </c>
    </row>
    <row r="491" spans="1:12">
      <c r="A491" t="s">
        <v>877</v>
      </c>
      <c r="B491" s="2">
        <v>45785</v>
      </c>
      <c r="C491" t="s">
        <v>878</v>
      </c>
      <c r="D491" t="s">
        <v>14</v>
      </c>
      <c r="E491" t="s">
        <v>15</v>
      </c>
      <c r="F491" t="s">
        <v>82</v>
      </c>
      <c r="G491">
        <v>28</v>
      </c>
      <c r="H491">
        <v>4.24</v>
      </c>
      <c r="I491">
        <v>1</v>
      </c>
      <c r="J491" t="str">
        <f>TEXT(SalesData[[#This Row],[Order Date]],"mmm")</f>
        <v>May</v>
      </c>
      <c r="K491">
        <f>YEAR(SalesData[[#This Row],[Order Date]])</f>
        <v>2025</v>
      </c>
      <c r="L491" s="3">
        <f>SalesData[[#This Row],[Profit]]/SalesData[[#This Row],[Sales]]</f>
        <v>0.15142857142857144</v>
      </c>
    </row>
    <row r="492" spans="1:12">
      <c r="A492" t="s">
        <v>879</v>
      </c>
      <c r="B492" s="2">
        <v>45972</v>
      </c>
      <c r="C492" t="s">
        <v>880</v>
      </c>
      <c r="D492" t="s">
        <v>32</v>
      </c>
      <c r="E492" t="s">
        <v>41</v>
      </c>
      <c r="F492" t="s">
        <v>58</v>
      </c>
      <c r="G492">
        <v>657.12</v>
      </c>
      <c r="H492">
        <v>210.44</v>
      </c>
      <c r="I492">
        <v>5</v>
      </c>
      <c r="J492" t="str">
        <f>TEXT(SalesData[[#This Row],[Order Date]],"mmm")</f>
        <v>Nov</v>
      </c>
      <c r="K492">
        <f>YEAR(SalesData[[#This Row],[Order Date]])</f>
        <v>2025</v>
      </c>
      <c r="L492" s="3">
        <f>SalesData[[#This Row],[Profit]]/SalesData[[#This Row],[Sales]]</f>
        <v>0.32024592159727294</v>
      </c>
    </row>
    <row r="493" spans="1:12">
      <c r="A493" t="s">
        <v>881</v>
      </c>
      <c r="B493" s="2">
        <v>45798</v>
      </c>
      <c r="C493" t="s">
        <v>882</v>
      </c>
      <c r="D493" t="s">
        <v>23</v>
      </c>
      <c r="E493" t="s">
        <v>24</v>
      </c>
      <c r="F493" t="s">
        <v>134</v>
      </c>
      <c r="G493">
        <v>311.60000000000002</v>
      </c>
      <c r="H493">
        <v>63.92</v>
      </c>
      <c r="I493">
        <v>5</v>
      </c>
      <c r="J493" t="str">
        <f>TEXT(SalesData[[#This Row],[Order Date]],"mmm")</f>
        <v>May</v>
      </c>
      <c r="K493">
        <f>YEAR(SalesData[[#This Row],[Order Date]])</f>
        <v>2025</v>
      </c>
      <c r="L493" s="3">
        <f>SalesData[[#This Row],[Profit]]/SalesData[[#This Row],[Sales]]</f>
        <v>0.20513478818998715</v>
      </c>
    </row>
    <row r="494" spans="1:12">
      <c r="A494" t="s">
        <v>883</v>
      </c>
      <c r="B494" s="2">
        <v>45934</v>
      </c>
      <c r="C494" t="s">
        <v>884</v>
      </c>
      <c r="D494" t="s">
        <v>14</v>
      </c>
      <c r="E494" t="s">
        <v>24</v>
      </c>
      <c r="F494" t="s">
        <v>134</v>
      </c>
      <c r="G494">
        <v>1369</v>
      </c>
      <c r="H494">
        <v>328.08</v>
      </c>
      <c r="I494">
        <v>4</v>
      </c>
      <c r="J494" t="str">
        <f>TEXT(SalesData[[#This Row],[Order Date]],"mmm")</f>
        <v>Oct</v>
      </c>
      <c r="K494">
        <f>YEAR(SalesData[[#This Row],[Order Date]])</f>
        <v>2025</v>
      </c>
      <c r="L494" s="3">
        <f>SalesData[[#This Row],[Profit]]/SalesData[[#This Row],[Sales]]</f>
        <v>0.23964937910883854</v>
      </c>
    </row>
    <row r="495" spans="1:12">
      <c r="A495" t="s">
        <v>885</v>
      </c>
      <c r="B495" s="2">
        <v>46010</v>
      </c>
      <c r="C495" t="s">
        <v>886</v>
      </c>
      <c r="D495" t="s">
        <v>19</v>
      </c>
      <c r="E495" t="s">
        <v>24</v>
      </c>
      <c r="F495" t="s">
        <v>25</v>
      </c>
      <c r="G495">
        <v>567.86</v>
      </c>
      <c r="H495">
        <v>78.040000000000006</v>
      </c>
      <c r="I495">
        <v>3</v>
      </c>
      <c r="J495" t="str">
        <f>TEXT(SalesData[[#This Row],[Order Date]],"mmm")</f>
        <v>Dec</v>
      </c>
      <c r="K495">
        <f>YEAR(SalesData[[#This Row],[Order Date]])</f>
        <v>2025</v>
      </c>
      <c r="L495" s="3">
        <f>SalesData[[#This Row],[Profit]]/SalesData[[#This Row],[Sales]]</f>
        <v>0.13742823935477055</v>
      </c>
    </row>
    <row r="496" spans="1:12">
      <c r="A496" t="s">
        <v>887</v>
      </c>
      <c r="B496" s="2">
        <v>45795</v>
      </c>
      <c r="C496" t="s">
        <v>888</v>
      </c>
      <c r="D496" t="s">
        <v>14</v>
      </c>
      <c r="E496" t="s">
        <v>24</v>
      </c>
      <c r="F496" t="s">
        <v>88</v>
      </c>
      <c r="G496">
        <v>357.92</v>
      </c>
      <c r="H496">
        <v>85.95</v>
      </c>
      <c r="I496">
        <v>4</v>
      </c>
      <c r="J496" t="str">
        <f>TEXT(SalesData[[#This Row],[Order Date]],"mmm")</f>
        <v>May</v>
      </c>
      <c r="K496">
        <f>YEAR(SalesData[[#This Row],[Order Date]])</f>
        <v>2025</v>
      </c>
      <c r="L496" s="3">
        <f>SalesData[[#This Row],[Profit]]/SalesData[[#This Row],[Sales]]</f>
        <v>0.24013746088511398</v>
      </c>
    </row>
    <row r="497" spans="1:12">
      <c r="A497" t="s">
        <v>889</v>
      </c>
      <c r="B497" s="2">
        <v>45863</v>
      </c>
      <c r="C497" t="s">
        <v>352</v>
      </c>
      <c r="D497" t="s">
        <v>19</v>
      </c>
      <c r="E497" t="s">
        <v>33</v>
      </c>
      <c r="F497" t="s">
        <v>34</v>
      </c>
      <c r="G497">
        <v>1419.42</v>
      </c>
      <c r="H497">
        <v>137.65</v>
      </c>
      <c r="I497">
        <v>6</v>
      </c>
      <c r="J497" t="str">
        <f>TEXT(SalesData[[#This Row],[Order Date]],"mmm")</f>
        <v>Jul</v>
      </c>
      <c r="K497">
        <f>YEAR(SalesData[[#This Row],[Order Date]])</f>
        <v>2025</v>
      </c>
      <c r="L497" s="3">
        <f>SalesData[[#This Row],[Profit]]/SalesData[[#This Row],[Sales]]</f>
        <v>9.6976229727635227E-2</v>
      </c>
    </row>
    <row r="498" spans="1:12">
      <c r="A498" t="s">
        <v>890</v>
      </c>
      <c r="B498" s="2">
        <v>45778</v>
      </c>
      <c r="C498" t="s">
        <v>268</v>
      </c>
      <c r="D498" t="s">
        <v>28</v>
      </c>
      <c r="E498" t="s">
        <v>15</v>
      </c>
      <c r="F498" t="s">
        <v>16</v>
      </c>
      <c r="G498">
        <v>100.56</v>
      </c>
      <c r="H498">
        <v>7.69</v>
      </c>
      <c r="I498">
        <v>4</v>
      </c>
      <c r="J498" t="str">
        <f>TEXT(SalesData[[#This Row],[Order Date]],"mmm")</f>
        <v>May</v>
      </c>
      <c r="K498">
        <f>YEAR(SalesData[[#This Row],[Order Date]])</f>
        <v>2025</v>
      </c>
      <c r="L498" s="3">
        <f>SalesData[[#This Row],[Profit]]/SalesData[[#This Row],[Sales]]</f>
        <v>7.6471758154335726E-2</v>
      </c>
    </row>
    <row r="499" spans="1:12">
      <c r="A499" t="s">
        <v>891</v>
      </c>
      <c r="B499" s="2">
        <v>45980</v>
      </c>
      <c r="C499" t="s">
        <v>410</v>
      </c>
      <c r="D499" t="s">
        <v>14</v>
      </c>
      <c r="E499" t="s">
        <v>41</v>
      </c>
      <c r="F499" t="s">
        <v>58</v>
      </c>
      <c r="G499">
        <v>577.29999999999995</v>
      </c>
      <c r="H499">
        <v>115.23</v>
      </c>
      <c r="I499">
        <v>3</v>
      </c>
      <c r="J499" t="str">
        <f>TEXT(SalesData[[#This Row],[Order Date]],"mmm")</f>
        <v>Nov</v>
      </c>
      <c r="K499">
        <f>YEAR(SalesData[[#This Row],[Order Date]])</f>
        <v>2025</v>
      </c>
      <c r="L499" s="3">
        <f>SalesData[[#This Row],[Profit]]/SalesData[[#This Row],[Sales]]</f>
        <v>0.19960159362549804</v>
      </c>
    </row>
    <row r="500" spans="1:12">
      <c r="A500" t="s">
        <v>892</v>
      </c>
      <c r="B500" s="2">
        <v>45688</v>
      </c>
      <c r="C500" t="s">
        <v>557</v>
      </c>
      <c r="D500" t="s">
        <v>28</v>
      </c>
      <c r="E500" t="s">
        <v>41</v>
      </c>
      <c r="F500" t="s">
        <v>42</v>
      </c>
      <c r="G500">
        <v>770.12</v>
      </c>
      <c r="H500">
        <v>127.03</v>
      </c>
      <c r="I500">
        <v>4</v>
      </c>
      <c r="J500" t="str">
        <f>TEXT(SalesData[[#This Row],[Order Date]],"mmm")</f>
        <v>Jan</v>
      </c>
      <c r="K500">
        <f>YEAR(SalesData[[#This Row],[Order Date]])</f>
        <v>2025</v>
      </c>
      <c r="L500" s="3">
        <f>SalesData[[#This Row],[Profit]]/SalesData[[#This Row],[Sales]]</f>
        <v>0.16494831974237781</v>
      </c>
    </row>
    <row r="501" spans="1:12">
      <c r="A501" t="s">
        <v>893</v>
      </c>
      <c r="B501" s="2">
        <v>45943</v>
      </c>
      <c r="C501" t="s">
        <v>806</v>
      </c>
      <c r="D501" t="s">
        <v>14</v>
      </c>
      <c r="E501" t="s">
        <v>15</v>
      </c>
      <c r="F501" t="s">
        <v>82</v>
      </c>
      <c r="G501">
        <v>80.040000000000006</v>
      </c>
      <c r="H501">
        <v>15.57</v>
      </c>
      <c r="I501">
        <v>3</v>
      </c>
      <c r="J501" t="str">
        <f>TEXT(SalesData[[#This Row],[Order Date]],"mmm")</f>
        <v>Oct</v>
      </c>
      <c r="K501">
        <f>YEAR(SalesData[[#This Row],[Order Date]])</f>
        <v>2025</v>
      </c>
      <c r="L501" s="3">
        <f>SalesData[[#This Row],[Profit]]/SalesData[[#This Row],[Sales]]</f>
        <v>0.19452773613193403</v>
      </c>
    </row>
    <row r="502" spans="1:12">
      <c r="A502" t="s">
        <v>894</v>
      </c>
      <c r="B502" s="2">
        <v>45952</v>
      </c>
      <c r="C502" t="s">
        <v>289</v>
      </c>
      <c r="D502" t="s">
        <v>19</v>
      </c>
      <c r="E502" t="s">
        <v>37</v>
      </c>
      <c r="F502" t="s">
        <v>47</v>
      </c>
      <c r="G502">
        <v>68.64</v>
      </c>
      <c r="H502">
        <v>12.12</v>
      </c>
      <c r="I502">
        <v>3</v>
      </c>
      <c r="J502" t="str">
        <f>TEXT(SalesData[[#This Row],[Order Date]],"mmm")</f>
        <v>Oct</v>
      </c>
      <c r="K502">
        <f>YEAR(SalesData[[#This Row],[Order Date]])</f>
        <v>2025</v>
      </c>
      <c r="L502" s="3">
        <f>SalesData[[#This Row],[Profit]]/SalesData[[#This Row],[Sales]]</f>
        <v>0.17657342657342656</v>
      </c>
    </row>
    <row r="503" spans="1:12">
      <c r="A503" t="s">
        <v>895</v>
      </c>
      <c r="B503" s="2">
        <v>45886</v>
      </c>
      <c r="C503" t="s">
        <v>896</v>
      </c>
      <c r="D503" t="s">
        <v>28</v>
      </c>
      <c r="E503" t="s">
        <v>41</v>
      </c>
      <c r="F503" t="s">
        <v>71</v>
      </c>
      <c r="G503">
        <v>1441.38</v>
      </c>
      <c r="H503">
        <v>457.01</v>
      </c>
      <c r="I503">
        <v>6</v>
      </c>
      <c r="J503" t="str">
        <f>TEXT(SalesData[[#This Row],[Order Date]],"mmm")</f>
        <v>Aug</v>
      </c>
      <c r="K503">
        <f>YEAR(SalesData[[#This Row],[Order Date]])</f>
        <v>2025</v>
      </c>
      <c r="L503" s="3">
        <f>SalesData[[#This Row],[Profit]]/SalesData[[#This Row],[Sales]]</f>
        <v>0.31706420236162564</v>
      </c>
    </row>
    <row r="504" spans="1:12">
      <c r="A504" t="s">
        <v>897</v>
      </c>
      <c r="B504" s="2">
        <v>45830</v>
      </c>
      <c r="C504" t="s">
        <v>54</v>
      </c>
      <c r="D504" t="s">
        <v>23</v>
      </c>
      <c r="E504" t="s">
        <v>24</v>
      </c>
      <c r="F504" t="s">
        <v>25</v>
      </c>
      <c r="G504">
        <v>73.459999999999994</v>
      </c>
      <c r="H504">
        <v>10.7</v>
      </c>
      <c r="I504">
        <v>1</v>
      </c>
      <c r="J504" t="str">
        <f>TEXT(SalesData[[#This Row],[Order Date]],"mmm")</f>
        <v>Jun</v>
      </c>
      <c r="K504">
        <f>YEAR(SalesData[[#This Row],[Order Date]])</f>
        <v>2025</v>
      </c>
      <c r="L504" s="3">
        <f>SalesData[[#This Row],[Profit]]/SalesData[[#This Row],[Sales]]</f>
        <v>0.14565750068064254</v>
      </c>
    </row>
    <row r="505" spans="1:12">
      <c r="A505" t="s">
        <v>898</v>
      </c>
      <c r="B505" s="2">
        <v>45807</v>
      </c>
      <c r="C505" t="s">
        <v>441</v>
      </c>
      <c r="D505" t="s">
        <v>23</v>
      </c>
      <c r="E505" t="s">
        <v>41</v>
      </c>
      <c r="F505" t="s">
        <v>58</v>
      </c>
      <c r="G505">
        <v>802.88</v>
      </c>
      <c r="H505">
        <v>268.72000000000003</v>
      </c>
      <c r="I505">
        <v>4</v>
      </c>
      <c r="J505" t="str">
        <f>TEXT(SalesData[[#This Row],[Order Date]],"mmm")</f>
        <v>May</v>
      </c>
      <c r="K505">
        <f>YEAR(SalesData[[#This Row],[Order Date]])</f>
        <v>2025</v>
      </c>
      <c r="L505" s="3">
        <f>SalesData[[#This Row],[Profit]]/SalesData[[#This Row],[Sales]]</f>
        <v>0.33469509764846556</v>
      </c>
    </row>
    <row r="506" spans="1:12">
      <c r="A506" t="s">
        <v>899</v>
      </c>
      <c r="B506" s="2">
        <v>45924</v>
      </c>
      <c r="C506" t="s">
        <v>305</v>
      </c>
      <c r="D506" t="s">
        <v>19</v>
      </c>
      <c r="E506" t="s">
        <v>15</v>
      </c>
      <c r="F506" t="s">
        <v>82</v>
      </c>
      <c r="G506">
        <v>46.38</v>
      </c>
      <c r="H506">
        <v>6.92</v>
      </c>
      <c r="I506">
        <v>2</v>
      </c>
      <c r="J506" t="str">
        <f>TEXT(SalesData[[#This Row],[Order Date]],"mmm")</f>
        <v>Sep</v>
      </c>
      <c r="K506">
        <f>YEAR(SalesData[[#This Row],[Order Date]])</f>
        <v>2025</v>
      </c>
      <c r="L506" s="3">
        <f>SalesData[[#This Row],[Profit]]/SalesData[[#This Row],[Sales]]</f>
        <v>0.1492022423458387</v>
      </c>
    </row>
    <row r="507" spans="1:12">
      <c r="A507" t="s">
        <v>900</v>
      </c>
      <c r="B507" s="2">
        <v>46016</v>
      </c>
      <c r="C507" t="s">
        <v>240</v>
      </c>
      <c r="D507" t="s">
        <v>19</v>
      </c>
      <c r="E507" t="s">
        <v>15</v>
      </c>
      <c r="F507" t="s">
        <v>82</v>
      </c>
      <c r="G507">
        <v>8.99</v>
      </c>
      <c r="H507">
        <v>-0.59</v>
      </c>
      <c r="I507">
        <v>1</v>
      </c>
      <c r="J507" t="str">
        <f>TEXT(SalesData[[#This Row],[Order Date]],"mmm")</f>
        <v>Dec</v>
      </c>
      <c r="K507">
        <f>YEAR(SalesData[[#This Row],[Order Date]])</f>
        <v>2025</v>
      </c>
      <c r="L507" s="3">
        <f>SalesData[[#This Row],[Profit]]/SalesData[[#This Row],[Sales]]</f>
        <v>-6.5628476084538367E-2</v>
      </c>
    </row>
    <row r="508" spans="1:12">
      <c r="A508" t="s">
        <v>901</v>
      </c>
      <c r="B508" s="2">
        <v>45861</v>
      </c>
      <c r="C508" t="s">
        <v>318</v>
      </c>
      <c r="D508" t="s">
        <v>32</v>
      </c>
      <c r="E508" t="s">
        <v>24</v>
      </c>
      <c r="F508" t="s">
        <v>134</v>
      </c>
      <c r="G508">
        <v>236.09</v>
      </c>
      <c r="H508">
        <v>65.42</v>
      </c>
      <c r="I508">
        <v>1</v>
      </c>
      <c r="J508" t="str">
        <f>TEXT(SalesData[[#This Row],[Order Date]],"mmm")</f>
        <v>Jul</v>
      </c>
      <c r="K508">
        <f>YEAR(SalesData[[#This Row],[Order Date]])</f>
        <v>2025</v>
      </c>
      <c r="L508" s="3">
        <f>SalesData[[#This Row],[Profit]]/SalesData[[#This Row],[Sales]]</f>
        <v>0.27709771697234103</v>
      </c>
    </row>
    <row r="509" spans="1:12">
      <c r="A509" t="s">
        <v>902</v>
      </c>
      <c r="B509" s="2">
        <v>45784</v>
      </c>
      <c r="C509" t="s">
        <v>228</v>
      </c>
      <c r="D509" t="s">
        <v>28</v>
      </c>
      <c r="E509" t="s">
        <v>41</v>
      </c>
      <c r="F509" t="s">
        <v>158</v>
      </c>
      <c r="G509">
        <v>1068.3499999999999</v>
      </c>
      <c r="H509">
        <v>114.47</v>
      </c>
      <c r="I509">
        <v>5</v>
      </c>
      <c r="J509" t="str">
        <f>TEXT(SalesData[[#This Row],[Order Date]],"mmm")</f>
        <v>May</v>
      </c>
      <c r="K509">
        <f>YEAR(SalesData[[#This Row],[Order Date]])</f>
        <v>2025</v>
      </c>
      <c r="L509" s="3">
        <f>SalesData[[#This Row],[Profit]]/SalesData[[#This Row],[Sales]]</f>
        <v>0.10714653437543877</v>
      </c>
    </row>
    <row r="510" spans="1:12">
      <c r="A510" t="s">
        <v>903</v>
      </c>
      <c r="B510" s="2">
        <v>45824</v>
      </c>
      <c r="C510" t="s">
        <v>249</v>
      </c>
      <c r="D510" t="s">
        <v>28</v>
      </c>
      <c r="E510" t="s">
        <v>37</v>
      </c>
      <c r="F510" t="s">
        <v>194</v>
      </c>
      <c r="G510">
        <v>105.51</v>
      </c>
      <c r="H510">
        <v>12.69</v>
      </c>
      <c r="I510">
        <v>3</v>
      </c>
      <c r="J510" t="str">
        <f>TEXT(SalesData[[#This Row],[Order Date]],"mmm")</f>
        <v>Jun</v>
      </c>
      <c r="K510">
        <f>YEAR(SalesData[[#This Row],[Order Date]])</f>
        <v>2025</v>
      </c>
      <c r="L510" s="3">
        <f>SalesData[[#This Row],[Profit]]/SalesData[[#This Row],[Sales]]</f>
        <v>0.12027295990901335</v>
      </c>
    </row>
    <row r="511" spans="1:12">
      <c r="A511" t="s">
        <v>904</v>
      </c>
      <c r="B511" s="2">
        <v>45934</v>
      </c>
      <c r="C511" t="s">
        <v>905</v>
      </c>
      <c r="D511" t="s">
        <v>23</v>
      </c>
      <c r="E511" t="s">
        <v>33</v>
      </c>
      <c r="F511" t="s">
        <v>34</v>
      </c>
      <c r="G511">
        <v>1960.72</v>
      </c>
      <c r="H511">
        <v>370.03</v>
      </c>
      <c r="I511">
        <v>4</v>
      </c>
      <c r="J511" t="str">
        <f>TEXT(SalesData[[#This Row],[Order Date]],"mmm")</f>
        <v>Oct</v>
      </c>
      <c r="K511">
        <f>YEAR(SalesData[[#This Row],[Order Date]])</f>
        <v>2025</v>
      </c>
      <c r="L511" s="3">
        <f>SalesData[[#This Row],[Profit]]/SalesData[[#This Row],[Sales]]</f>
        <v>0.1887214900648741</v>
      </c>
    </row>
    <row r="512" spans="1:12">
      <c r="A512" t="s">
        <v>906</v>
      </c>
      <c r="B512" s="2">
        <v>45835</v>
      </c>
      <c r="C512" t="s">
        <v>497</v>
      </c>
      <c r="D512" t="s">
        <v>19</v>
      </c>
      <c r="E512" t="s">
        <v>41</v>
      </c>
      <c r="F512" t="s">
        <v>71</v>
      </c>
      <c r="G512">
        <v>321.89999999999998</v>
      </c>
      <c r="H512">
        <v>53.1</v>
      </c>
      <c r="I512">
        <v>3</v>
      </c>
      <c r="J512" t="str">
        <f>TEXT(SalesData[[#This Row],[Order Date]],"mmm")</f>
        <v>Jun</v>
      </c>
      <c r="K512">
        <f>YEAR(SalesData[[#This Row],[Order Date]])</f>
        <v>2025</v>
      </c>
      <c r="L512" s="3">
        <f>SalesData[[#This Row],[Profit]]/SalesData[[#This Row],[Sales]]</f>
        <v>0.16495806150978568</v>
      </c>
    </row>
    <row r="513" spans="1:12">
      <c r="A513" t="s">
        <v>907</v>
      </c>
      <c r="B513" s="2">
        <v>45658</v>
      </c>
      <c r="C513" t="s">
        <v>908</v>
      </c>
      <c r="D513" t="s">
        <v>14</v>
      </c>
      <c r="E513" t="s">
        <v>24</v>
      </c>
      <c r="F513" t="s">
        <v>55</v>
      </c>
      <c r="G513">
        <v>246.96</v>
      </c>
      <c r="H513">
        <v>48.99</v>
      </c>
      <c r="I513">
        <v>1</v>
      </c>
      <c r="J513" t="str">
        <f>TEXT(SalesData[[#This Row],[Order Date]],"mmm")</f>
        <v>Jan</v>
      </c>
      <c r="K513">
        <f>YEAR(SalesData[[#This Row],[Order Date]])</f>
        <v>2025</v>
      </c>
      <c r="L513" s="3">
        <f>SalesData[[#This Row],[Profit]]/SalesData[[#This Row],[Sales]]</f>
        <v>0.19837220602526726</v>
      </c>
    </row>
    <row r="514" spans="1:12">
      <c r="A514" t="s">
        <v>909</v>
      </c>
      <c r="B514" s="2">
        <v>45811</v>
      </c>
      <c r="C514" t="s">
        <v>910</v>
      </c>
      <c r="D514" t="s">
        <v>14</v>
      </c>
      <c r="E514" t="s">
        <v>33</v>
      </c>
      <c r="F514" t="s">
        <v>52</v>
      </c>
      <c r="G514">
        <v>1806.65</v>
      </c>
      <c r="H514">
        <v>270.99</v>
      </c>
      <c r="I514">
        <v>5</v>
      </c>
      <c r="J514" t="str">
        <f>TEXT(SalesData[[#This Row],[Order Date]],"mmm")</f>
        <v>Jun</v>
      </c>
      <c r="K514">
        <f>YEAR(SalesData[[#This Row],[Order Date]])</f>
        <v>2025</v>
      </c>
      <c r="L514" s="3">
        <f>SalesData[[#This Row],[Profit]]/SalesData[[#This Row],[Sales]]</f>
        <v>0.1499958486701907</v>
      </c>
    </row>
    <row r="515" spans="1:12">
      <c r="A515" t="s">
        <v>911</v>
      </c>
      <c r="B515" s="2">
        <v>45860</v>
      </c>
      <c r="C515" t="s">
        <v>912</v>
      </c>
      <c r="D515" t="s">
        <v>28</v>
      </c>
      <c r="E515" t="s">
        <v>41</v>
      </c>
      <c r="F515" t="s">
        <v>158</v>
      </c>
      <c r="G515">
        <v>128.46</v>
      </c>
      <c r="H515">
        <v>32.93</v>
      </c>
      <c r="I515">
        <v>3</v>
      </c>
      <c r="J515" t="str">
        <f>TEXT(SalesData[[#This Row],[Order Date]],"mmm")</f>
        <v>Jul</v>
      </c>
      <c r="K515">
        <f>YEAR(SalesData[[#This Row],[Order Date]])</f>
        <v>2025</v>
      </c>
      <c r="L515" s="3">
        <f>SalesData[[#This Row],[Profit]]/SalesData[[#This Row],[Sales]]</f>
        <v>0.25634438735793241</v>
      </c>
    </row>
    <row r="516" spans="1:12">
      <c r="A516" t="s">
        <v>913</v>
      </c>
      <c r="B516" s="2">
        <v>45971</v>
      </c>
      <c r="C516" t="s">
        <v>618</v>
      </c>
      <c r="D516" t="s">
        <v>14</v>
      </c>
      <c r="E516" t="s">
        <v>41</v>
      </c>
      <c r="F516" t="s">
        <v>68</v>
      </c>
      <c r="G516">
        <v>479.63</v>
      </c>
      <c r="H516">
        <v>69.83</v>
      </c>
      <c r="I516">
        <v>3</v>
      </c>
      <c r="J516" t="str">
        <f>TEXT(SalesData[[#This Row],[Order Date]],"mmm")</f>
        <v>Nov</v>
      </c>
      <c r="K516">
        <f>YEAR(SalesData[[#This Row],[Order Date]])</f>
        <v>2025</v>
      </c>
      <c r="L516" s="3">
        <f>SalesData[[#This Row],[Profit]]/SalesData[[#This Row],[Sales]]</f>
        <v>0.14559139336571941</v>
      </c>
    </row>
    <row r="517" spans="1:12">
      <c r="A517" t="s">
        <v>914</v>
      </c>
      <c r="B517" s="2">
        <v>45984</v>
      </c>
      <c r="C517" t="s">
        <v>203</v>
      </c>
      <c r="D517" t="s">
        <v>28</v>
      </c>
      <c r="E517" t="s">
        <v>24</v>
      </c>
      <c r="F517" t="s">
        <v>55</v>
      </c>
      <c r="G517">
        <v>362.58</v>
      </c>
      <c r="H517">
        <v>39.86</v>
      </c>
      <c r="I517">
        <v>4</v>
      </c>
      <c r="J517" t="str">
        <f>TEXT(SalesData[[#This Row],[Order Date]],"mmm")</f>
        <v>Nov</v>
      </c>
      <c r="K517">
        <f>YEAR(SalesData[[#This Row],[Order Date]])</f>
        <v>2025</v>
      </c>
      <c r="L517" s="3">
        <f>SalesData[[#This Row],[Profit]]/SalesData[[#This Row],[Sales]]</f>
        <v>0.10993435931380661</v>
      </c>
    </row>
    <row r="518" spans="1:12">
      <c r="A518" t="s">
        <v>915</v>
      </c>
      <c r="B518" s="2">
        <v>45753</v>
      </c>
      <c r="C518" t="s">
        <v>916</v>
      </c>
      <c r="D518" t="s">
        <v>14</v>
      </c>
      <c r="E518" t="s">
        <v>15</v>
      </c>
      <c r="F518" t="s">
        <v>109</v>
      </c>
      <c r="G518">
        <v>31.26</v>
      </c>
      <c r="H518">
        <v>-0.99</v>
      </c>
      <c r="I518">
        <v>6</v>
      </c>
      <c r="J518" t="str">
        <f>TEXT(SalesData[[#This Row],[Order Date]],"mmm")</f>
        <v>Apr</v>
      </c>
      <c r="K518">
        <f>YEAR(SalesData[[#This Row],[Order Date]])</f>
        <v>2025</v>
      </c>
      <c r="L518" s="3">
        <f>SalesData[[#This Row],[Profit]]/SalesData[[#This Row],[Sales]]</f>
        <v>-3.166986564299424E-2</v>
      </c>
    </row>
    <row r="519" spans="1:12">
      <c r="A519" t="s">
        <v>917</v>
      </c>
      <c r="B519" s="2">
        <v>45769</v>
      </c>
      <c r="C519" t="s">
        <v>256</v>
      </c>
      <c r="D519" t="s">
        <v>14</v>
      </c>
      <c r="E519" t="s">
        <v>41</v>
      </c>
      <c r="F519" t="s">
        <v>71</v>
      </c>
      <c r="G519">
        <v>387.99</v>
      </c>
      <c r="H519">
        <v>115.57</v>
      </c>
      <c r="I519">
        <v>3</v>
      </c>
      <c r="J519" t="str">
        <f>TEXT(SalesData[[#This Row],[Order Date]],"mmm")</f>
        <v>Apr</v>
      </c>
      <c r="K519">
        <f>YEAR(SalesData[[#This Row],[Order Date]])</f>
        <v>2025</v>
      </c>
      <c r="L519" s="3">
        <f>SalesData[[#This Row],[Profit]]/SalesData[[#This Row],[Sales]]</f>
        <v>0.29786850176550939</v>
      </c>
    </row>
    <row r="520" spans="1:12">
      <c r="A520" t="s">
        <v>918</v>
      </c>
      <c r="B520" s="2">
        <v>45732</v>
      </c>
      <c r="C520" t="s">
        <v>919</v>
      </c>
      <c r="D520" t="s">
        <v>28</v>
      </c>
      <c r="E520" t="s">
        <v>15</v>
      </c>
      <c r="F520" t="s">
        <v>109</v>
      </c>
      <c r="G520">
        <v>19.600000000000001</v>
      </c>
      <c r="H520">
        <v>3.45</v>
      </c>
      <c r="I520">
        <v>2</v>
      </c>
      <c r="J520" t="str">
        <f>TEXT(SalesData[[#This Row],[Order Date]],"mmm")</f>
        <v>Mar</v>
      </c>
      <c r="K520">
        <f>YEAR(SalesData[[#This Row],[Order Date]])</f>
        <v>2025</v>
      </c>
      <c r="L520" s="3">
        <f>SalesData[[#This Row],[Profit]]/SalesData[[#This Row],[Sales]]</f>
        <v>0.17602040816326531</v>
      </c>
    </row>
    <row r="521" spans="1:12">
      <c r="A521" t="s">
        <v>920</v>
      </c>
      <c r="B521" s="2">
        <v>45664</v>
      </c>
      <c r="C521" t="s">
        <v>921</v>
      </c>
      <c r="D521" t="s">
        <v>28</v>
      </c>
      <c r="E521" t="s">
        <v>41</v>
      </c>
      <c r="F521" t="s">
        <v>71</v>
      </c>
      <c r="G521">
        <v>381.92</v>
      </c>
      <c r="H521">
        <v>41.39</v>
      </c>
      <c r="I521">
        <v>2</v>
      </c>
      <c r="J521" t="str">
        <f>TEXT(SalesData[[#This Row],[Order Date]],"mmm")</f>
        <v>Jan</v>
      </c>
      <c r="K521">
        <f>YEAR(SalesData[[#This Row],[Order Date]])</f>
        <v>2025</v>
      </c>
      <c r="L521" s="3">
        <f>SalesData[[#This Row],[Profit]]/SalesData[[#This Row],[Sales]]</f>
        <v>0.10837348135735232</v>
      </c>
    </row>
    <row r="522" spans="1:12">
      <c r="A522" t="s">
        <v>922</v>
      </c>
      <c r="B522" s="2">
        <v>45706</v>
      </c>
      <c r="C522" t="s">
        <v>923</v>
      </c>
      <c r="D522" t="s">
        <v>28</v>
      </c>
      <c r="E522" t="s">
        <v>24</v>
      </c>
      <c r="F522" t="s">
        <v>97</v>
      </c>
      <c r="G522">
        <v>217.02</v>
      </c>
      <c r="H522">
        <v>53.31</v>
      </c>
      <c r="I522">
        <v>3</v>
      </c>
      <c r="J522" t="str">
        <f>TEXT(SalesData[[#This Row],[Order Date]],"mmm")</f>
        <v>Feb</v>
      </c>
      <c r="K522">
        <f>YEAR(SalesData[[#This Row],[Order Date]])</f>
        <v>2025</v>
      </c>
      <c r="L522" s="3">
        <f>SalesData[[#This Row],[Profit]]/SalesData[[#This Row],[Sales]]</f>
        <v>0.2456455626209566</v>
      </c>
    </row>
    <row r="523" spans="1:12">
      <c r="A523" t="s">
        <v>924</v>
      </c>
      <c r="B523" s="2">
        <v>45939</v>
      </c>
      <c r="C523" t="s">
        <v>849</v>
      </c>
      <c r="D523" t="s">
        <v>14</v>
      </c>
      <c r="E523" t="s">
        <v>33</v>
      </c>
      <c r="F523" t="s">
        <v>308</v>
      </c>
      <c r="G523">
        <v>699.94</v>
      </c>
      <c r="H523">
        <v>62.19</v>
      </c>
      <c r="I523">
        <v>2</v>
      </c>
      <c r="J523" t="str">
        <f>TEXT(SalesData[[#This Row],[Order Date]],"mmm")</f>
        <v>Oct</v>
      </c>
      <c r="K523">
        <f>YEAR(SalesData[[#This Row],[Order Date]])</f>
        <v>2025</v>
      </c>
      <c r="L523" s="3">
        <f>SalesData[[#This Row],[Profit]]/SalesData[[#This Row],[Sales]]</f>
        <v>8.8850472897676933E-2</v>
      </c>
    </row>
    <row r="524" spans="1:12">
      <c r="A524" t="s">
        <v>925</v>
      </c>
      <c r="B524" s="2">
        <v>45715</v>
      </c>
      <c r="C524" t="s">
        <v>926</v>
      </c>
      <c r="D524" t="s">
        <v>14</v>
      </c>
      <c r="E524" t="s">
        <v>15</v>
      </c>
      <c r="F524" t="s">
        <v>29</v>
      </c>
      <c r="G524">
        <v>39.950000000000003</v>
      </c>
      <c r="H524">
        <v>-3.36</v>
      </c>
      <c r="I524">
        <v>5</v>
      </c>
      <c r="J524" t="str">
        <f>TEXT(SalesData[[#This Row],[Order Date]],"mmm")</f>
        <v>Feb</v>
      </c>
      <c r="K524">
        <f>YEAR(SalesData[[#This Row],[Order Date]])</f>
        <v>2025</v>
      </c>
      <c r="L524" s="3">
        <f>SalesData[[#This Row],[Profit]]/SalesData[[#This Row],[Sales]]</f>
        <v>-8.4105131414267828E-2</v>
      </c>
    </row>
    <row r="525" spans="1:12">
      <c r="A525" t="s">
        <v>927</v>
      </c>
      <c r="B525" s="2">
        <v>45679</v>
      </c>
      <c r="C525" t="s">
        <v>77</v>
      </c>
      <c r="D525" t="s">
        <v>23</v>
      </c>
      <c r="E525" t="s">
        <v>15</v>
      </c>
      <c r="F525" t="s">
        <v>82</v>
      </c>
      <c r="G525">
        <v>17.88</v>
      </c>
      <c r="H525">
        <v>1.1399999999999999</v>
      </c>
      <c r="I525">
        <v>2</v>
      </c>
      <c r="J525" t="str">
        <f>TEXT(SalesData[[#This Row],[Order Date]],"mmm")</f>
        <v>Jan</v>
      </c>
      <c r="K525">
        <f>YEAR(SalesData[[#This Row],[Order Date]])</f>
        <v>2025</v>
      </c>
      <c r="L525" s="3">
        <f>SalesData[[#This Row],[Profit]]/SalesData[[#This Row],[Sales]]</f>
        <v>6.3758389261744958E-2</v>
      </c>
    </row>
    <row r="526" spans="1:12">
      <c r="A526" t="s">
        <v>928</v>
      </c>
      <c r="B526" s="2">
        <v>45978</v>
      </c>
      <c r="C526" t="s">
        <v>929</v>
      </c>
      <c r="D526" t="s">
        <v>14</v>
      </c>
      <c r="E526" t="s">
        <v>41</v>
      </c>
      <c r="F526" t="s">
        <v>68</v>
      </c>
      <c r="G526">
        <v>62.36</v>
      </c>
      <c r="H526">
        <v>21.54</v>
      </c>
      <c r="I526">
        <v>1</v>
      </c>
      <c r="J526" t="str">
        <f>TEXT(SalesData[[#This Row],[Order Date]],"mmm")</f>
        <v>Nov</v>
      </c>
      <c r="K526">
        <f>YEAR(SalesData[[#This Row],[Order Date]])</f>
        <v>2025</v>
      </c>
      <c r="L526" s="3">
        <f>SalesData[[#This Row],[Profit]]/SalesData[[#This Row],[Sales]]</f>
        <v>0.34541372674791532</v>
      </c>
    </row>
    <row r="527" spans="1:12">
      <c r="A527" t="s">
        <v>930</v>
      </c>
      <c r="B527" s="2">
        <v>45835</v>
      </c>
      <c r="C527" t="s">
        <v>931</v>
      </c>
      <c r="D527" t="s">
        <v>19</v>
      </c>
      <c r="E527" t="s">
        <v>15</v>
      </c>
      <c r="F527" t="s">
        <v>109</v>
      </c>
      <c r="G527">
        <v>69.33</v>
      </c>
      <c r="H527">
        <v>6.07</v>
      </c>
      <c r="I527">
        <v>3</v>
      </c>
      <c r="J527" t="str">
        <f>TEXT(SalesData[[#This Row],[Order Date]],"mmm")</f>
        <v>Jun</v>
      </c>
      <c r="K527">
        <f>YEAR(SalesData[[#This Row],[Order Date]])</f>
        <v>2025</v>
      </c>
      <c r="L527" s="3">
        <f>SalesData[[#This Row],[Profit]]/SalesData[[#This Row],[Sales]]</f>
        <v>8.7552286167604215E-2</v>
      </c>
    </row>
    <row r="528" spans="1:12">
      <c r="A528" t="s">
        <v>932</v>
      </c>
      <c r="B528" s="2">
        <v>46019</v>
      </c>
      <c r="C528" t="s">
        <v>933</v>
      </c>
      <c r="D528" t="s">
        <v>14</v>
      </c>
      <c r="E528" t="s">
        <v>33</v>
      </c>
      <c r="F528" t="s">
        <v>63</v>
      </c>
      <c r="G528">
        <v>1332.2</v>
      </c>
      <c r="H528">
        <v>179.88</v>
      </c>
      <c r="I528">
        <v>2</v>
      </c>
      <c r="J528" t="str">
        <f>TEXT(SalesData[[#This Row],[Order Date]],"mmm")</f>
        <v>Dec</v>
      </c>
      <c r="K528">
        <f>YEAR(SalesData[[#This Row],[Order Date]])</f>
        <v>2025</v>
      </c>
      <c r="L528" s="3">
        <f>SalesData[[#This Row],[Profit]]/SalesData[[#This Row],[Sales]]</f>
        <v>0.13502477105539709</v>
      </c>
    </row>
    <row r="529" spans="1:12">
      <c r="A529" t="s">
        <v>934</v>
      </c>
      <c r="B529" s="2">
        <v>45964</v>
      </c>
      <c r="C529" t="s">
        <v>70</v>
      </c>
      <c r="D529" t="s">
        <v>19</v>
      </c>
      <c r="E529" t="s">
        <v>15</v>
      </c>
      <c r="F529" t="s">
        <v>16</v>
      </c>
      <c r="G529">
        <v>58.43</v>
      </c>
      <c r="H529">
        <v>-3.07</v>
      </c>
      <c r="I529">
        <v>4</v>
      </c>
      <c r="J529" t="str">
        <f>TEXT(SalesData[[#This Row],[Order Date]],"mmm")</f>
        <v>Nov</v>
      </c>
      <c r="K529">
        <f>YEAR(SalesData[[#This Row],[Order Date]])</f>
        <v>2025</v>
      </c>
      <c r="L529" s="3">
        <f>SalesData[[#This Row],[Profit]]/SalesData[[#This Row],[Sales]]</f>
        <v>-5.2541502652746874E-2</v>
      </c>
    </row>
    <row r="530" spans="1:12">
      <c r="A530" t="s">
        <v>935</v>
      </c>
      <c r="B530" s="2">
        <v>45984</v>
      </c>
      <c r="C530" t="s">
        <v>329</v>
      </c>
      <c r="D530" t="s">
        <v>19</v>
      </c>
      <c r="E530" t="s">
        <v>37</v>
      </c>
      <c r="F530" t="s">
        <v>194</v>
      </c>
      <c r="G530">
        <v>167.59</v>
      </c>
      <c r="H530">
        <v>34.880000000000003</v>
      </c>
      <c r="I530">
        <v>3</v>
      </c>
      <c r="J530" t="str">
        <f>TEXT(SalesData[[#This Row],[Order Date]],"mmm")</f>
        <v>Nov</v>
      </c>
      <c r="K530">
        <f>YEAR(SalesData[[#This Row],[Order Date]])</f>
        <v>2025</v>
      </c>
      <c r="L530" s="3">
        <f>SalesData[[#This Row],[Profit]]/SalesData[[#This Row],[Sales]]</f>
        <v>0.20812697654991349</v>
      </c>
    </row>
    <row r="531" spans="1:12">
      <c r="A531" t="s">
        <v>936</v>
      </c>
      <c r="B531" s="2">
        <v>45933</v>
      </c>
      <c r="C531" t="s">
        <v>937</v>
      </c>
      <c r="D531" t="s">
        <v>19</v>
      </c>
      <c r="E531" t="s">
        <v>33</v>
      </c>
      <c r="F531" t="s">
        <v>63</v>
      </c>
      <c r="G531">
        <v>862.75</v>
      </c>
      <c r="H531">
        <v>110.55</v>
      </c>
      <c r="I531">
        <v>5</v>
      </c>
      <c r="J531" t="str">
        <f>TEXT(SalesData[[#This Row],[Order Date]],"mmm")</f>
        <v>Oct</v>
      </c>
      <c r="K531">
        <f>YEAR(SalesData[[#This Row],[Order Date]])</f>
        <v>2025</v>
      </c>
      <c r="L531" s="3">
        <f>SalesData[[#This Row],[Profit]]/SalesData[[#This Row],[Sales]]</f>
        <v>0.12813677195015938</v>
      </c>
    </row>
    <row r="532" spans="1:12">
      <c r="A532" t="s">
        <v>938</v>
      </c>
      <c r="B532" s="2">
        <v>45822</v>
      </c>
      <c r="C532" t="s">
        <v>507</v>
      </c>
      <c r="D532" t="s">
        <v>23</v>
      </c>
      <c r="E532" t="s">
        <v>41</v>
      </c>
      <c r="F532" t="s">
        <v>42</v>
      </c>
      <c r="G532">
        <v>130.38</v>
      </c>
      <c r="H532">
        <v>14.06</v>
      </c>
      <c r="I532">
        <v>2</v>
      </c>
      <c r="J532" t="str">
        <f>TEXT(SalesData[[#This Row],[Order Date]],"mmm")</f>
        <v>Jun</v>
      </c>
      <c r="K532">
        <f>YEAR(SalesData[[#This Row],[Order Date]])</f>
        <v>2025</v>
      </c>
      <c r="L532" s="3">
        <f>SalesData[[#This Row],[Profit]]/SalesData[[#This Row],[Sales]]</f>
        <v>0.10783862555606689</v>
      </c>
    </row>
    <row r="533" spans="1:12">
      <c r="A533" t="s">
        <v>939</v>
      </c>
      <c r="B533" s="2">
        <v>45756</v>
      </c>
      <c r="C533" t="s">
        <v>940</v>
      </c>
      <c r="D533" t="s">
        <v>23</v>
      </c>
      <c r="E533" t="s">
        <v>41</v>
      </c>
      <c r="F533" t="s">
        <v>71</v>
      </c>
      <c r="G533">
        <v>811.38</v>
      </c>
      <c r="H533">
        <v>207.71</v>
      </c>
      <c r="I533">
        <v>6</v>
      </c>
      <c r="J533" t="str">
        <f>TEXT(SalesData[[#This Row],[Order Date]],"mmm")</f>
        <v>Apr</v>
      </c>
      <c r="K533">
        <f>YEAR(SalesData[[#This Row],[Order Date]])</f>
        <v>2025</v>
      </c>
      <c r="L533" s="3">
        <f>SalesData[[#This Row],[Profit]]/SalesData[[#This Row],[Sales]]</f>
        <v>0.25599595750449849</v>
      </c>
    </row>
    <row r="534" spans="1:12">
      <c r="A534" t="s">
        <v>941</v>
      </c>
      <c r="B534" s="2">
        <v>45683</v>
      </c>
      <c r="C534" t="s">
        <v>51</v>
      </c>
      <c r="D534" t="s">
        <v>23</v>
      </c>
      <c r="E534" t="s">
        <v>41</v>
      </c>
      <c r="F534" t="s">
        <v>42</v>
      </c>
      <c r="G534">
        <v>345.08</v>
      </c>
      <c r="H534">
        <v>114.6</v>
      </c>
      <c r="I534">
        <v>2</v>
      </c>
      <c r="J534" t="str">
        <f>TEXT(SalesData[[#This Row],[Order Date]],"mmm")</f>
        <v>Jan</v>
      </c>
      <c r="K534">
        <f>YEAR(SalesData[[#This Row],[Order Date]])</f>
        <v>2025</v>
      </c>
      <c r="L534" s="3">
        <f>SalesData[[#This Row],[Profit]]/SalesData[[#This Row],[Sales]]</f>
        <v>0.33209690506549205</v>
      </c>
    </row>
    <row r="535" spans="1:12">
      <c r="A535" t="s">
        <v>942</v>
      </c>
      <c r="B535" s="2">
        <v>45897</v>
      </c>
      <c r="C535" t="s">
        <v>242</v>
      </c>
      <c r="D535" t="s">
        <v>14</v>
      </c>
      <c r="E535" t="s">
        <v>33</v>
      </c>
      <c r="F535" t="s">
        <v>63</v>
      </c>
      <c r="G535">
        <v>2169.15</v>
      </c>
      <c r="H535">
        <v>195.03</v>
      </c>
      <c r="I535">
        <v>3</v>
      </c>
      <c r="J535" t="str">
        <f>TEXT(SalesData[[#This Row],[Order Date]],"mmm")</f>
        <v>Aug</v>
      </c>
      <c r="K535">
        <f>YEAR(SalesData[[#This Row],[Order Date]])</f>
        <v>2025</v>
      </c>
      <c r="L535" s="3">
        <f>SalesData[[#This Row],[Profit]]/SalesData[[#This Row],[Sales]]</f>
        <v>8.9910794550860929E-2</v>
      </c>
    </row>
    <row r="536" spans="1:12">
      <c r="A536" t="s">
        <v>943</v>
      </c>
      <c r="B536" s="2">
        <v>45928</v>
      </c>
      <c r="C536" t="s">
        <v>655</v>
      </c>
      <c r="D536" t="s">
        <v>14</v>
      </c>
      <c r="E536" t="s">
        <v>15</v>
      </c>
      <c r="F536" t="s">
        <v>16</v>
      </c>
      <c r="G536">
        <v>37.15</v>
      </c>
      <c r="H536">
        <v>5.9</v>
      </c>
      <c r="I536">
        <v>5</v>
      </c>
      <c r="J536" t="str">
        <f>TEXT(SalesData[[#This Row],[Order Date]],"mmm")</f>
        <v>Sep</v>
      </c>
      <c r="K536">
        <f>YEAR(SalesData[[#This Row],[Order Date]])</f>
        <v>2025</v>
      </c>
      <c r="L536" s="3">
        <f>SalesData[[#This Row],[Profit]]/SalesData[[#This Row],[Sales]]</f>
        <v>0.15881561238223421</v>
      </c>
    </row>
    <row r="537" spans="1:12">
      <c r="A537" t="s">
        <v>944</v>
      </c>
      <c r="B537" s="2">
        <v>45755</v>
      </c>
      <c r="C537" t="s">
        <v>945</v>
      </c>
      <c r="D537" t="s">
        <v>19</v>
      </c>
      <c r="E537" t="s">
        <v>33</v>
      </c>
      <c r="F537" t="s">
        <v>170</v>
      </c>
      <c r="G537">
        <v>3421.55</v>
      </c>
      <c r="H537">
        <v>515.22</v>
      </c>
      <c r="I537">
        <v>5</v>
      </c>
      <c r="J537" t="str">
        <f>TEXT(SalesData[[#This Row],[Order Date]],"mmm")</f>
        <v>Apr</v>
      </c>
      <c r="K537">
        <f>YEAR(SalesData[[#This Row],[Order Date]])</f>
        <v>2025</v>
      </c>
      <c r="L537" s="3">
        <f>SalesData[[#This Row],[Profit]]/SalesData[[#This Row],[Sales]]</f>
        <v>0.15058087708786952</v>
      </c>
    </row>
    <row r="538" spans="1:12">
      <c r="A538" t="s">
        <v>946</v>
      </c>
      <c r="B538" s="2">
        <v>45984</v>
      </c>
      <c r="C538" t="s">
        <v>947</v>
      </c>
      <c r="D538" t="s">
        <v>28</v>
      </c>
      <c r="E538" t="s">
        <v>41</v>
      </c>
      <c r="F538" t="s">
        <v>71</v>
      </c>
      <c r="G538">
        <v>72.17</v>
      </c>
      <c r="H538">
        <v>14.46</v>
      </c>
      <c r="I538">
        <v>1</v>
      </c>
      <c r="J538" t="str">
        <f>TEXT(SalesData[[#This Row],[Order Date]],"mmm")</f>
        <v>Nov</v>
      </c>
      <c r="K538">
        <f>YEAR(SalesData[[#This Row],[Order Date]])</f>
        <v>2025</v>
      </c>
      <c r="L538" s="3">
        <f>SalesData[[#This Row],[Profit]]/SalesData[[#This Row],[Sales]]</f>
        <v>0.20036026049605099</v>
      </c>
    </row>
    <row r="539" spans="1:12">
      <c r="A539" t="s">
        <v>948</v>
      </c>
      <c r="B539" s="2">
        <v>45738</v>
      </c>
      <c r="C539" t="s">
        <v>949</v>
      </c>
      <c r="D539" t="s">
        <v>28</v>
      </c>
      <c r="E539" t="s">
        <v>37</v>
      </c>
      <c r="F539" t="s">
        <v>47</v>
      </c>
      <c r="G539">
        <v>297.64999999999998</v>
      </c>
      <c r="H539">
        <v>44.26</v>
      </c>
      <c r="I539">
        <v>5</v>
      </c>
      <c r="J539" t="str">
        <f>TEXT(SalesData[[#This Row],[Order Date]],"mmm")</f>
        <v>Mar</v>
      </c>
      <c r="K539">
        <f>YEAR(SalesData[[#This Row],[Order Date]])</f>
        <v>2025</v>
      </c>
      <c r="L539" s="3">
        <f>SalesData[[#This Row],[Profit]]/SalesData[[#This Row],[Sales]]</f>
        <v>0.14869813539391905</v>
      </c>
    </row>
    <row r="540" spans="1:12">
      <c r="A540" t="s">
        <v>950</v>
      </c>
      <c r="B540" s="2">
        <v>45982</v>
      </c>
      <c r="C540" t="s">
        <v>951</v>
      </c>
      <c r="D540" t="s">
        <v>23</v>
      </c>
      <c r="E540" t="s">
        <v>15</v>
      </c>
      <c r="F540" t="s">
        <v>20</v>
      </c>
      <c r="G540">
        <v>36.380000000000003</v>
      </c>
      <c r="H540">
        <v>5.88</v>
      </c>
      <c r="I540">
        <v>2</v>
      </c>
      <c r="J540" t="str">
        <f>TEXT(SalesData[[#This Row],[Order Date]],"mmm")</f>
        <v>Nov</v>
      </c>
      <c r="K540">
        <f>YEAR(SalesData[[#This Row],[Order Date]])</f>
        <v>2025</v>
      </c>
      <c r="L540" s="3">
        <f>SalesData[[#This Row],[Profit]]/SalesData[[#This Row],[Sales]]</f>
        <v>0.16162726772952171</v>
      </c>
    </row>
    <row r="541" spans="1:12">
      <c r="A541" t="s">
        <v>952</v>
      </c>
      <c r="B541" s="2">
        <v>45889</v>
      </c>
      <c r="C541" t="s">
        <v>469</v>
      </c>
      <c r="D541" t="s">
        <v>32</v>
      </c>
      <c r="E541" t="s">
        <v>41</v>
      </c>
      <c r="F541" t="s">
        <v>58</v>
      </c>
      <c r="G541">
        <v>143.35</v>
      </c>
      <c r="H541">
        <v>19.18</v>
      </c>
      <c r="I541">
        <v>5</v>
      </c>
      <c r="J541" t="str">
        <f>TEXT(SalesData[[#This Row],[Order Date]],"mmm")</f>
        <v>Aug</v>
      </c>
      <c r="K541">
        <f>YEAR(SalesData[[#This Row],[Order Date]])</f>
        <v>2025</v>
      </c>
      <c r="L541" s="3">
        <f>SalesData[[#This Row],[Profit]]/SalesData[[#This Row],[Sales]]</f>
        <v>0.13379839553540288</v>
      </c>
    </row>
    <row r="542" spans="1:12">
      <c r="A542" t="s">
        <v>953</v>
      </c>
      <c r="B542" s="2">
        <v>45661</v>
      </c>
      <c r="C542" t="s">
        <v>478</v>
      </c>
      <c r="D542" t="s">
        <v>19</v>
      </c>
      <c r="E542" t="s">
        <v>37</v>
      </c>
      <c r="F542" t="s">
        <v>38</v>
      </c>
      <c r="G542">
        <v>301.38</v>
      </c>
      <c r="H542">
        <v>71.69</v>
      </c>
      <c r="I542">
        <v>6</v>
      </c>
      <c r="J542" t="str">
        <f>TEXT(SalesData[[#This Row],[Order Date]],"mmm")</f>
        <v>Jan</v>
      </c>
      <c r="K542">
        <f>YEAR(SalesData[[#This Row],[Order Date]])</f>
        <v>2025</v>
      </c>
      <c r="L542" s="3">
        <f>SalesData[[#This Row],[Profit]]/SalesData[[#This Row],[Sales]]</f>
        <v>0.23787245338111354</v>
      </c>
    </row>
    <row r="543" spans="1:12">
      <c r="A543" t="s">
        <v>954</v>
      </c>
      <c r="B543" s="2">
        <v>45950</v>
      </c>
      <c r="C543" t="s">
        <v>955</v>
      </c>
      <c r="D543" t="s">
        <v>19</v>
      </c>
      <c r="E543" t="s">
        <v>15</v>
      </c>
      <c r="F543" t="s">
        <v>109</v>
      </c>
      <c r="G543">
        <v>26.7</v>
      </c>
      <c r="H543">
        <v>2.4</v>
      </c>
      <c r="I543">
        <v>3</v>
      </c>
      <c r="J543" t="str">
        <f>TEXT(SalesData[[#This Row],[Order Date]],"mmm")</f>
        <v>Oct</v>
      </c>
      <c r="K543">
        <f>YEAR(SalesData[[#This Row],[Order Date]])</f>
        <v>2025</v>
      </c>
      <c r="L543" s="3">
        <f>SalesData[[#This Row],[Profit]]/SalesData[[#This Row],[Sales]]</f>
        <v>8.98876404494382E-2</v>
      </c>
    </row>
    <row r="544" spans="1:12">
      <c r="A544" t="s">
        <v>956</v>
      </c>
      <c r="B544" s="2">
        <v>45785</v>
      </c>
      <c r="C544" t="s">
        <v>148</v>
      </c>
      <c r="D544" t="s">
        <v>14</v>
      </c>
      <c r="E544" t="s">
        <v>15</v>
      </c>
      <c r="F544" t="s">
        <v>109</v>
      </c>
      <c r="G544">
        <v>139.75</v>
      </c>
      <c r="H544">
        <v>22.38</v>
      </c>
      <c r="I544">
        <v>5</v>
      </c>
      <c r="J544" t="str">
        <f>TEXT(SalesData[[#This Row],[Order Date]],"mmm")</f>
        <v>May</v>
      </c>
      <c r="K544">
        <f>YEAR(SalesData[[#This Row],[Order Date]])</f>
        <v>2025</v>
      </c>
      <c r="L544" s="3">
        <f>SalesData[[#This Row],[Profit]]/SalesData[[#This Row],[Sales]]</f>
        <v>0.16014311270125223</v>
      </c>
    </row>
    <row r="545" spans="1:12">
      <c r="A545" t="s">
        <v>957</v>
      </c>
      <c r="B545" s="2">
        <v>45905</v>
      </c>
      <c r="C545" t="s">
        <v>958</v>
      </c>
      <c r="D545" t="s">
        <v>23</v>
      </c>
      <c r="E545" t="s">
        <v>41</v>
      </c>
      <c r="F545" t="s">
        <v>42</v>
      </c>
      <c r="G545">
        <v>847.55</v>
      </c>
      <c r="H545">
        <v>92.67</v>
      </c>
      <c r="I545">
        <v>5</v>
      </c>
      <c r="J545" t="str">
        <f>TEXT(SalesData[[#This Row],[Order Date]],"mmm")</f>
        <v>Sep</v>
      </c>
      <c r="K545">
        <f>YEAR(SalesData[[#This Row],[Order Date]])</f>
        <v>2025</v>
      </c>
      <c r="L545" s="3">
        <f>SalesData[[#This Row],[Profit]]/SalesData[[#This Row],[Sales]]</f>
        <v>0.1093386820836529</v>
      </c>
    </row>
    <row r="546" spans="1:12">
      <c r="A546" t="s">
        <v>959</v>
      </c>
      <c r="B546" s="2">
        <v>45853</v>
      </c>
      <c r="C546" t="s">
        <v>206</v>
      </c>
      <c r="D546" t="s">
        <v>14</v>
      </c>
      <c r="E546" t="s">
        <v>24</v>
      </c>
      <c r="F546" t="s">
        <v>88</v>
      </c>
      <c r="G546">
        <v>1307.92</v>
      </c>
      <c r="H546">
        <v>162.32</v>
      </c>
      <c r="I546">
        <v>4</v>
      </c>
      <c r="J546" t="str">
        <f>TEXT(SalesData[[#This Row],[Order Date]],"mmm")</f>
        <v>Jul</v>
      </c>
      <c r="K546">
        <f>YEAR(SalesData[[#This Row],[Order Date]])</f>
        <v>2025</v>
      </c>
      <c r="L546" s="3">
        <f>SalesData[[#This Row],[Profit]]/SalesData[[#This Row],[Sales]]</f>
        <v>0.12410544987461006</v>
      </c>
    </row>
    <row r="547" spans="1:12">
      <c r="A547" t="s">
        <v>960</v>
      </c>
      <c r="B547" s="2">
        <v>45992</v>
      </c>
      <c r="C547" t="s">
        <v>961</v>
      </c>
      <c r="D547" t="s">
        <v>32</v>
      </c>
      <c r="E547" t="s">
        <v>41</v>
      </c>
      <c r="F547" t="s">
        <v>71</v>
      </c>
      <c r="G547">
        <v>104.09</v>
      </c>
      <c r="H547">
        <v>24.46</v>
      </c>
      <c r="I547">
        <v>1</v>
      </c>
      <c r="J547" t="str">
        <f>TEXT(SalesData[[#This Row],[Order Date]],"mmm")</f>
        <v>Dec</v>
      </c>
      <c r="K547">
        <f>YEAR(SalesData[[#This Row],[Order Date]])</f>
        <v>2025</v>
      </c>
      <c r="L547" s="3">
        <f>SalesData[[#This Row],[Profit]]/SalesData[[#This Row],[Sales]]</f>
        <v>0.23498895186857527</v>
      </c>
    </row>
    <row r="548" spans="1:12">
      <c r="A548" t="s">
        <v>962</v>
      </c>
      <c r="B548" s="2">
        <v>45915</v>
      </c>
      <c r="C548" t="s">
        <v>963</v>
      </c>
      <c r="D548" t="s">
        <v>19</v>
      </c>
      <c r="E548" t="s">
        <v>15</v>
      </c>
      <c r="F548" t="s">
        <v>109</v>
      </c>
      <c r="G548">
        <v>95.28</v>
      </c>
      <c r="H548">
        <v>12.99</v>
      </c>
      <c r="I548">
        <v>4</v>
      </c>
      <c r="J548" t="str">
        <f>TEXT(SalesData[[#This Row],[Order Date]],"mmm")</f>
        <v>Sep</v>
      </c>
      <c r="K548">
        <f>YEAR(SalesData[[#This Row],[Order Date]])</f>
        <v>2025</v>
      </c>
      <c r="L548" s="3">
        <f>SalesData[[#This Row],[Profit]]/SalesData[[#This Row],[Sales]]</f>
        <v>0.13633501259445843</v>
      </c>
    </row>
    <row r="549" spans="1:12">
      <c r="A549" t="s">
        <v>964</v>
      </c>
      <c r="B549" s="2">
        <v>45879</v>
      </c>
      <c r="C549" t="s">
        <v>965</v>
      </c>
      <c r="D549" t="s">
        <v>19</v>
      </c>
      <c r="E549" t="s">
        <v>15</v>
      </c>
      <c r="F549" t="s">
        <v>82</v>
      </c>
      <c r="G549">
        <v>77.16</v>
      </c>
      <c r="H549">
        <v>4.43</v>
      </c>
      <c r="I549">
        <v>4</v>
      </c>
      <c r="J549" t="str">
        <f>TEXT(SalesData[[#This Row],[Order Date]],"mmm")</f>
        <v>Aug</v>
      </c>
      <c r="K549">
        <f>YEAR(SalesData[[#This Row],[Order Date]])</f>
        <v>2025</v>
      </c>
      <c r="L549" s="3">
        <f>SalesData[[#This Row],[Profit]]/SalesData[[#This Row],[Sales]]</f>
        <v>5.7413167444271641E-2</v>
      </c>
    </row>
    <row r="550" spans="1:12">
      <c r="A550" t="s">
        <v>966</v>
      </c>
      <c r="B550" s="2">
        <v>45701</v>
      </c>
      <c r="C550" t="s">
        <v>456</v>
      </c>
      <c r="D550" t="s">
        <v>28</v>
      </c>
      <c r="E550" t="s">
        <v>41</v>
      </c>
      <c r="F550" t="s">
        <v>158</v>
      </c>
      <c r="G550">
        <v>266.42</v>
      </c>
      <c r="H550">
        <v>39.840000000000003</v>
      </c>
      <c r="I550">
        <v>2</v>
      </c>
      <c r="J550" t="str">
        <f>TEXT(SalesData[[#This Row],[Order Date]],"mmm")</f>
        <v>Feb</v>
      </c>
      <c r="K550">
        <f>YEAR(SalesData[[#This Row],[Order Date]])</f>
        <v>2025</v>
      </c>
      <c r="L550" s="3">
        <f>SalesData[[#This Row],[Profit]]/SalesData[[#This Row],[Sales]]</f>
        <v>0.14953832294872757</v>
      </c>
    </row>
    <row r="551" spans="1:12">
      <c r="A551" t="s">
        <v>967</v>
      </c>
      <c r="B551" s="2">
        <v>45950</v>
      </c>
      <c r="C551" t="s">
        <v>968</v>
      </c>
      <c r="D551" t="s">
        <v>23</v>
      </c>
      <c r="E551" t="s">
        <v>37</v>
      </c>
      <c r="F551" t="s">
        <v>194</v>
      </c>
      <c r="G551">
        <v>36.659999999999997</v>
      </c>
      <c r="H551">
        <v>5.13</v>
      </c>
      <c r="I551">
        <v>2</v>
      </c>
      <c r="J551" t="str">
        <f>TEXT(SalesData[[#This Row],[Order Date]],"mmm")</f>
        <v>Oct</v>
      </c>
      <c r="K551">
        <f>YEAR(SalesData[[#This Row],[Order Date]])</f>
        <v>2025</v>
      </c>
      <c r="L551" s="3">
        <f>SalesData[[#This Row],[Profit]]/SalesData[[#This Row],[Sales]]</f>
        <v>0.13993453355155483</v>
      </c>
    </row>
    <row r="552" spans="1:12">
      <c r="A552" t="s">
        <v>969</v>
      </c>
      <c r="B552" s="2">
        <v>46008</v>
      </c>
      <c r="C552" t="s">
        <v>955</v>
      </c>
      <c r="D552" t="s">
        <v>32</v>
      </c>
      <c r="E552" t="s">
        <v>15</v>
      </c>
      <c r="F552" t="s">
        <v>109</v>
      </c>
      <c r="G552">
        <v>65.400000000000006</v>
      </c>
      <c r="H552">
        <v>6.65</v>
      </c>
      <c r="I552">
        <v>4</v>
      </c>
      <c r="J552" t="str">
        <f>TEXT(SalesData[[#This Row],[Order Date]],"mmm")</f>
        <v>Dec</v>
      </c>
      <c r="K552">
        <f>YEAR(SalesData[[#This Row],[Order Date]])</f>
        <v>2025</v>
      </c>
      <c r="L552" s="3">
        <f>SalesData[[#This Row],[Profit]]/SalesData[[#This Row],[Sales]]</f>
        <v>0.10168195718654434</v>
      </c>
    </row>
    <row r="553" spans="1:12">
      <c r="A553" t="s">
        <v>970</v>
      </c>
      <c r="B553" s="2">
        <v>45814</v>
      </c>
      <c r="C553" t="s">
        <v>391</v>
      </c>
      <c r="D553" t="s">
        <v>23</v>
      </c>
      <c r="E553" t="s">
        <v>41</v>
      </c>
      <c r="F553" t="s">
        <v>71</v>
      </c>
      <c r="G553">
        <v>289.05</v>
      </c>
      <c r="H553">
        <v>32.15</v>
      </c>
      <c r="I553">
        <v>5</v>
      </c>
      <c r="J553" t="str">
        <f>TEXT(SalesData[[#This Row],[Order Date]],"mmm")</f>
        <v>Jun</v>
      </c>
      <c r="K553">
        <f>YEAR(SalesData[[#This Row],[Order Date]])</f>
        <v>2025</v>
      </c>
      <c r="L553" s="3">
        <f>SalesData[[#This Row],[Profit]]/SalesData[[#This Row],[Sales]]</f>
        <v>0.1112264314132503</v>
      </c>
    </row>
    <row r="554" spans="1:12">
      <c r="A554" t="s">
        <v>971</v>
      </c>
      <c r="B554" s="2">
        <v>45760</v>
      </c>
      <c r="C554" t="s">
        <v>389</v>
      </c>
      <c r="D554" t="s">
        <v>19</v>
      </c>
      <c r="E554" t="s">
        <v>41</v>
      </c>
      <c r="F554" t="s">
        <v>42</v>
      </c>
      <c r="G554">
        <v>191.41</v>
      </c>
      <c r="H554">
        <v>30.77</v>
      </c>
      <c r="I554">
        <v>1</v>
      </c>
      <c r="J554" t="str">
        <f>TEXT(SalesData[[#This Row],[Order Date]],"mmm")</f>
        <v>Apr</v>
      </c>
      <c r="K554">
        <f>YEAR(SalesData[[#This Row],[Order Date]])</f>
        <v>2025</v>
      </c>
      <c r="L554" s="3">
        <f>SalesData[[#This Row],[Profit]]/SalesData[[#This Row],[Sales]]</f>
        <v>0.16075440154641868</v>
      </c>
    </row>
    <row r="555" spans="1:12">
      <c r="A555" t="s">
        <v>972</v>
      </c>
      <c r="B555" s="2">
        <v>45733</v>
      </c>
      <c r="C555" t="s">
        <v>973</v>
      </c>
      <c r="D555" t="s">
        <v>32</v>
      </c>
      <c r="E555" t="s">
        <v>24</v>
      </c>
      <c r="F555" t="s">
        <v>25</v>
      </c>
      <c r="G555">
        <v>505.56</v>
      </c>
      <c r="H555">
        <v>52.86</v>
      </c>
      <c r="I555">
        <v>3</v>
      </c>
      <c r="J555" t="str">
        <f>TEXT(SalesData[[#This Row],[Order Date]],"mmm")</f>
        <v>Mar</v>
      </c>
      <c r="K555">
        <f>YEAR(SalesData[[#This Row],[Order Date]])</f>
        <v>2025</v>
      </c>
      <c r="L555" s="3">
        <f>SalesData[[#This Row],[Profit]]/SalesData[[#This Row],[Sales]]</f>
        <v>0.10455732257298837</v>
      </c>
    </row>
    <row r="556" spans="1:12">
      <c r="A556" t="s">
        <v>974</v>
      </c>
      <c r="B556" s="2">
        <v>45933</v>
      </c>
      <c r="C556" t="s">
        <v>693</v>
      </c>
      <c r="D556" t="s">
        <v>23</v>
      </c>
      <c r="E556" t="s">
        <v>33</v>
      </c>
      <c r="F556" t="s">
        <v>308</v>
      </c>
      <c r="G556">
        <v>2277</v>
      </c>
      <c r="H556">
        <v>464.71</v>
      </c>
      <c r="I556">
        <v>5</v>
      </c>
      <c r="J556" t="str">
        <f>TEXT(SalesData[[#This Row],[Order Date]],"mmm")</f>
        <v>Oct</v>
      </c>
      <c r="K556">
        <f>YEAR(SalesData[[#This Row],[Order Date]])</f>
        <v>2025</v>
      </c>
      <c r="L556" s="3">
        <f>SalesData[[#This Row],[Profit]]/SalesData[[#This Row],[Sales]]</f>
        <v>0.20408871321914798</v>
      </c>
    </row>
    <row r="557" spans="1:12">
      <c r="A557" t="s">
        <v>975</v>
      </c>
      <c r="B557" s="2">
        <v>46015</v>
      </c>
      <c r="C557" t="s">
        <v>976</v>
      </c>
      <c r="D557" t="s">
        <v>28</v>
      </c>
      <c r="E557" t="s">
        <v>33</v>
      </c>
      <c r="F557" t="s">
        <v>34</v>
      </c>
      <c r="G557">
        <v>290.33999999999997</v>
      </c>
      <c r="H557">
        <v>33.130000000000003</v>
      </c>
      <c r="I557">
        <v>1</v>
      </c>
      <c r="J557" t="str">
        <f>TEXT(SalesData[[#This Row],[Order Date]],"mmm")</f>
        <v>Dec</v>
      </c>
      <c r="K557">
        <f>YEAR(SalesData[[#This Row],[Order Date]])</f>
        <v>2025</v>
      </c>
      <c r="L557" s="3">
        <f>SalesData[[#This Row],[Profit]]/SalesData[[#This Row],[Sales]]</f>
        <v>0.11410759798856515</v>
      </c>
    </row>
    <row r="558" spans="1:12">
      <c r="A558" t="s">
        <v>977</v>
      </c>
      <c r="B558" s="2">
        <v>45796</v>
      </c>
      <c r="C558" t="s">
        <v>978</v>
      </c>
      <c r="D558" t="s">
        <v>32</v>
      </c>
      <c r="E558" t="s">
        <v>15</v>
      </c>
      <c r="F558" t="s">
        <v>29</v>
      </c>
      <c r="G558">
        <v>157.80000000000001</v>
      </c>
      <c r="H558">
        <v>23.51</v>
      </c>
      <c r="I558">
        <v>6</v>
      </c>
      <c r="J558" t="str">
        <f>TEXT(SalesData[[#This Row],[Order Date]],"mmm")</f>
        <v>May</v>
      </c>
      <c r="K558">
        <f>YEAR(SalesData[[#This Row],[Order Date]])</f>
        <v>2025</v>
      </c>
      <c r="L558" s="3">
        <f>SalesData[[#This Row],[Profit]]/SalesData[[#This Row],[Sales]]</f>
        <v>0.14898605830164766</v>
      </c>
    </row>
    <row r="559" spans="1:12">
      <c r="A559" t="s">
        <v>979</v>
      </c>
      <c r="B559" s="2">
        <v>45667</v>
      </c>
      <c r="C559" t="s">
        <v>965</v>
      </c>
      <c r="D559" t="s">
        <v>19</v>
      </c>
      <c r="E559" t="s">
        <v>37</v>
      </c>
      <c r="F559" t="s">
        <v>194</v>
      </c>
      <c r="G559">
        <v>62.88</v>
      </c>
      <c r="H559">
        <v>9.26</v>
      </c>
      <c r="I559">
        <v>6</v>
      </c>
      <c r="J559" t="str">
        <f>TEXT(SalesData[[#This Row],[Order Date]],"mmm")</f>
        <v>Jan</v>
      </c>
      <c r="K559">
        <f>YEAR(SalesData[[#This Row],[Order Date]])</f>
        <v>2025</v>
      </c>
      <c r="L559" s="3">
        <f>SalesData[[#This Row],[Profit]]/SalesData[[#This Row],[Sales]]</f>
        <v>0.14726463104325699</v>
      </c>
    </row>
    <row r="560" spans="1:12">
      <c r="A560" t="s">
        <v>980</v>
      </c>
      <c r="B560" s="2">
        <v>45930</v>
      </c>
      <c r="C560" t="s">
        <v>981</v>
      </c>
      <c r="D560" t="s">
        <v>19</v>
      </c>
      <c r="E560" t="s">
        <v>33</v>
      </c>
      <c r="F560" t="s">
        <v>63</v>
      </c>
      <c r="G560">
        <v>4183.3</v>
      </c>
      <c r="H560">
        <v>349.95</v>
      </c>
      <c r="I560">
        <v>5</v>
      </c>
      <c r="J560" t="str">
        <f>TEXT(SalesData[[#This Row],[Order Date]],"mmm")</f>
        <v>Sep</v>
      </c>
      <c r="K560">
        <f>YEAR(SalesData[[#This Row],[Order Date]])</f>
        <v>2025</v>
      </c>
      <c r="L560" s="3">
        <f>SalesData[[#This Row],[Profit]]/SalesData[[#This Row],[Sales]]</f>
        <v>8.3654053020342789E-2</v>
      </c>
    </row>
    <row r="561" spans="1:12">
      <c r="A561" t="s">
        <v>982</v>
      </c>
      <c r="B561" s="2">
        <v>45929</v>
      </c>
      <c r="C561" t="s">
        <v>983</v>
      </c>
      <c r="D561" t="s">
        <v>28</v>
      </c>
      <c r="E561" t="s">
        <v>24</v>
      </c>
      <c r="F561" t="s">
        <v>134</v>
      </c>
      <c r="G561">
        <v>134.44</v>
      </c>
      <c r="H561">
        <v>22.91</v>
      </c>
      <c r="I561">
        <v>1</v>
      </c>
      <c r="J561" t="str">
        <f>TEXT(SalesData[[#This Row],[Order Date]],"mmm")</f>
        <v>Sep</v>
      </c>
      <c r="K561">
        <f>YEAR(SalesData[[#This Row],[Order Date]])</f>
        <v>2025</v>
      </c>
      <c r="L561" s="3">
        <f>SalesData[[#This Row],[Profit]]/SalesData[[#This Row],[Sales]]</f>
        <v>0.17041059208568879</v>
      </c>
    </row>
    <row r="562" spans="1:12">
      <c r="A562" t="s">
        <v>984</v>
      </c>
      <c r="B562" s="2">
        <v>45778</v>
      </c>
      <c r="C562" t="s">
        <v>101</v>
      </c>
      <c r="D562" t="s">
        <v>32</v>
      </c>
      <c r="E562" t="s">
        <v>41</v>
      </c>
      <c r="F562" t="s">
        <v>71</v>
      </c>
      <c r="G562">
        <v>237.43</v>
      </c>
      <c r="H562">
        <v>80.08</v>
      </c>
      <c r="I562">
        <v>1</v>
      </c>
      <c r="J562" t="str">
        <f>TEXT(SalesData[[#This Row],[Order Date]],"mmm")</f>
        <v>May</v>
      </c>
      <c r="K562">
        <f>YEAR(SalesData[[#This Row],[Order Date]])</f>
        <v>2025</v>
      </c>
      <c r="L562" s="3">
        <f>SalesData[[#This Row],[Profit]]/SalesData[[#This Row],[Sales]]</f>
        <v>0.33727835572589815</v>
      </c>
    </row>
    <row r="563" spans="1:12">
      <c r="A563" t="s">
        <v>985</v>
      </c>
      <c r="B563" s="2">
        <v>45832</v>
      </c>
      <c r="C563" t="s">
        <v>776</v>
      </c>
      <c r="D563" t="s">
        <v>19</v>
      </c>
      <c r="E563" t="s">
        <v>15</v>
      </c>
      <c r="F563" t="s">
        <v>109</v>
      </c>
      <c r="G563">
        <v>145.1</v>
      </c>
      <c r="H563">
        <v>20.58</v>
      </c>
      <c r="I563">
        <v>5</v>
      </c>
      <c r="J563" t="str">
        <f>TEXT(SalesData[[#This Row],[Order Date]],"mmm")</f>
        <v>Jun</v>
      </c>
      <c r="K563">
        <f>YEAR(SalesData[[#This Row],[Order Date]])</f>
        <v>2025</v>
      </c>
      <c r="L563" s="3">
        <f>SalesData[[#This Row],[Profit]]/SalesData[[#This Row],[Sales]]</f>
        <v>0.14183321847002067</v>
      </c>
    </row>
    <row r="564" spans="1:12">
      <c r="A564" t="s">
        <v>986</v>
      </c>
      <c r="B564" s="2">
        <v>45774</v>
      </c>
      <c r="C564" t="s">
        <v>987</v>
      </c>
      <c r="D564" t="s">
        <v>23</v>
      </c>
      <c r="E564" t="s">
        <v>15</v>
      </c>
      <c r="F564" t="s">
        <v>29</v>
      </c>
      <c r="G564">
        <v>66.150000000000006</v>
      </c>
      <c r="H564">
        <v>8.69</v>
      </c>
      <c r="I564">
        <v>5</v>
      </c>
      <c r="J564" t="str">
        <f>TEXT(SalesData[[#This Row],[Order Date]],"mmm")</f>
        <v>Apr</v>
      </c>
      <c r="K564">
        <f>YEAR(SalesData[[#This Row],[Order Date]])</f>
        <v>2025</v>
      </c>
      <c r="L564" s="3">
        <f>SalesData[[#This Row],[Profit]]/SalesData[[#This Row],[Sales]]</f>
        <v>0.13136810279667421</v>
      </c>
    </row>
    <row r="565" spans="1:12">
      <c r="A565" t="s">
        <v>988</v>
      </c>
      <c r="B565" s="2">
        <v>45728</v>
      </c>
      <c r="C565" t="s">
        <v>418</v>
      </c>
      <c r="D565" t="s">
        <v>19</v>
      </c>
      <c r="E565" t="s">
        <v>37</v>
      </c>
      <c r="F565" t="s">
        <v>47</v>
      </c>
      <c r="G565">
        <v>262.68</v>
      </c>
      <c r="H565">
        <v>46.91</v>
      </c>
      <c r="I565">
        <v>6</v>
      </c>
      <c r="J565" t="str">
        <f>TEXT(SalesData[[#This Row],[Order Date]],"mmm")</f>
        <v>Mar</v>
      </c>
      <c r="K565">
        <f>YEAR(SalesData[[#This Row],[Order Date]])</f>
        <v>2025</v>
      </c>
      <c r="L565" s="3">
        <f>SalesData[[#This Row],[Profit]]/SalesData[[#This Row],[Sales]]</f>
        <v>0.17858230546672757</v>
      </c>
    </row>
    <row r="566" spans="1:12">
      <c r="A566" t="s">
        <v>989</v>
      </c>
      <c r="B566" s="2">
        <v>45732</v>
      </c>
      <c r="C566" t="s">
        <v>990</v>
      </c>
      <c r="D566" t="s">
        <v>19</v>
      </c>
      <c r="E566" t="s">
        <v>24</v>
      </c>
      <c r="F566" t="s">
        <v>55</v>
      </c>
      <c r="G566">
        <v>1665.2</v>
      </c>
      <c r="H566">
        <v>205.95</v>
      </c>
      <c r="I566">
        <v>5</v>
      </c>
      <c r="J566" t="str">
        <f>TEXT(SalesData[[#This Row],[Order Date]],"mmm")</f>
        <v>Mar</v>
      </c>
      <c r="K566">
        <f>YEAR(SalesData[[#This Row],[Order Date]])</f>
        <v>2025</v>
      </c>
      <c r="L566" s="3">
        <f>SalesData[[#This Row],[Profit]]/SalesData[[#This Row],[Sales]]</f>
        <v>0.12367883737689166</v>
      </c>
    </row>
    <row r="567" spans="1:12">
      <c r="A567" t="s">
        <v>991</v>
      </c>
      <c r="B567" s="2">
        <v>45732</v>
      </c>
      <c r="C567" t="s">
        <v>992</v>
      </c>
      <c r="D567" t="s">
        <v>14</v>
      </c>
      <c r="E567" t="s">
        <v>37</v>
      </c>
      <c r="F567" t="s">
        <v>155</v>
      </c>
      <c r="G567">
        <v>86.72</v>
      </c>
      <c r="H567">
        <v>18.37</v>
      </c>
      <c r="I567">
        <v>4</v>
      </c>
      <c r="J567" t="str">
        <f>TEXT(SalesData[[#This Row],[Order Date]],"mmm")</f>
        <v>Mar</v>
      </c>
      <c r="K567">
        <f>YEAR(SalesData[[#This Row],[Order Date]])</f>
        <v>2025</v>
      </c>
      <c r="L567" s="3">
        <f>SalesData[[#This Row],[Profit]]/SalesData[[#This Row],[Sales]]</f>
        <v>0.21183118081180813</v>
      </c>
    </row>
    <row r="568" spans="1:12">
      <c r="A568" t="s">
        <v>993</v>
      </c>
      <c r="B568" s="2">
        <v>45984</v>
      </c>
      <c r="C568" t="s">
        <v>806</v>
      </c>
      <c r="D568" t="s">
        <v>19</v>
      </c>
      <c r="E568" t="s">
        <v>41</v>
      </c>
      <c r="F568" t="s">
        <v>42</v>
      </c>
      <c r="G568">
        <v>176.91</v>
      </c>
      <c r="H568">
        <v>44.76</v>
      </c>
      <c r="I568">
        <v>2</v>
      </c>
      <c r="J568" t="str">
        <f>TEXT(SalesData[[#This Row],[Order Date]],"mmm")</f>
        <v>Nov</v>
      </c>
      <c r="K568">
        <f>YEAR(SalesData[[#This Row],[Order Date]])</f>
        <v>2025</v>
      </c>
      <c r="L568" s="3">
        <f>SalesData[[#This Row],[Profit]]/SalesData[[#This Row],[Sales]]</f>
        <v>0.25301000508733251</v>
      </c>
    </row>
    <row r="569" spans="1:12">
      <c r="A569" t="s">
        <v>994</v>
      </c>
      <c r="B569" s="2">
        <v>45948</v>
      </c>
      <c r="C569" t="s">
        <v>995</v>
      </c>
      <c r="D569" t="s">
        <v>23</v>
      </c>
      <c r="E569" t="s">
        <v>15</v>
      </c>
      <c r="F569" t="s">
        <v>82</v>
      </c>
      <c r="G569">
        <v>20.97</v>
      </c>
      <c r="H569">
        <v>3.5</v>
      </c>
      <c r="I569">
        <v>3</v>
      </c>
      <c r="J569" t="str">
        <f>TEXT(SalesData[[#This Row],[Order Date]],"mmm")</f>
        <v>Oct</v>
      </c>
      <c r="K569">
        <f>YEAR(SalesData[[#This Row],[Order Date]])</f>
        <v>2025</v>
      </c>
      <c r="L569" s="3">
        <f>SalesData[[#This Row],[Profit]]/SalesData[[#This Row],[Sales]]</f>
        <v>0.16690510252742013</v>
      </c>
    </row>
    <row r="570" spans="1:12">
      <c r="A570" t="s">
        <v>996</v>
      </c>
      <c r="B570" s="2">
        <v>45967</v>
      </c>
      <c r="C570" t="s">
        <v>760</v>
      </c>
      <c r="D570" t="s">
        <v>19</v>
      </c>
      <c r="E570" t="s">
        <v>37</v>
      </c>
      <c r="F570" t="s">
        <v>155</v>
      </c>
      <c r="G570">
        <v>58.18</v>
      </c>
      <c r="H570">
        <v>6.1</v>
      </c>
      <c r="I570">
        <v>4</v>
      </c>
      <c r="J570" t="str">
        <f>TEXT(SalesData[[#This Row],[Order Date]],"mmm")</f>
        <v>Nov</v>
      </c>
      <c r="K570">
        <f>YEAR(SalesData[[#This Row],[Order Date]])</f>
        <v>2025</v>
      </c>
      <c r="L570" s="3">
        <f>SalesData[[#This Row],[Profit]]/SalesData[[#This Row],[Sales]]</f>
        <v>0.10484702646957716</v>
      </c>
    </row>
    <row r="571" spans="1:12">
      <c r="A571" t="s">
        <v>997</v>
      </c>
      <c r="B571" s="2">
        <v>45665</v>
      </c>
      <c r="C571" t="s">
        <v>806</v>
      </c>
      <c r="D571" t="s">
        <v>28</v>
      </c>
      <c r="E571" t="s">
        <v>15</v>
      </c>
      <c r="F571" t="s">
        <v>16</v>
      </c>
      <c r="G571">
        <v>13.3</v>
      </c>
      <c r="H571">
        <v>2.5099999999999998</v>
      </c>
      <c r="I571">
        <v>2</v>
      </c>
      <c r="J571" t="str">
        <f>TEXT(SalesData[[#This Row],[Order Date]],"mmm")</f>
        <v>Jan</v>
      </c>
      <c r="K571">
        <f>YEAR(SalesData[[#This Row],[Order Date]])</f>
        <v>2025</v>
      </c>
      <c r="L571" s="3">
        <f>SalesData[[#This Row],[Profit]]/SalesData[[#This Row],[Sales]]</f>
        <v>0.18872180451127818</v>
      </c>
    </row>
    <row r="572" spans="1:12">
      <c r="A572" t="s">
        <v>998</v>
      </c>
      <c r="B572" s="2">
        <v>45973</v>
      </c>
      <c r="C572" t="s">
        <v>452</v>
      </c>
      <c r="D572" t="s">
        <v>28</v>
      </c>
      <c r="E572" t="s">
        <v>37</v>
      </c>
      <c r="F572" t="s">
        <v>155</v>
      </c>
      <c r="G572">
        <v>244.63</v>
      </c>
      <c r="H572">
        <v>54.71</v>
      </c>
      <c r="I572">
        <v>4</v>
      </c>
      <c r="J572" t="str">
        <f>TEXT(SalesData[[#This Row],[Order Date]],"mmm")</f>
        <v>Nov</v>
      </c>
      <c r="K572">
        <f>YEAR(SalesData[[#This Row],[Order Date]])</f>
        <v>2025</v>
      </c>
      <c r="L572" s="3">
        <f>SalesData[[#This Row],[Profit]]/SalesData[[#This Row],[Sales]]</f>
        <v>0.22364387033479133</v>
      </c>
    </row>
    <row r="573" spans="1:12">
      <c r="A573" t="s">
        <v>999</v>
      </c>
      <c r="B573" s="2">
        <v>45859</v>
      </c>
      <c r="C573" t="s">
        <v>1000</v>
      </c>
      <c r="D573" t="s">
        <v>23</v>
      </c>
      <c r="E573" t="s">
        <v>33</v>
      </c>
      <c r="F573" t="s">
        <v>52</v>
      </c>
      <c r="G573">
        <v>670.05</v>
      </c>
      <c r="H573">
        <v>105.65</v>
      </c>
      <c r="I573">
        <v>5</v>
      </c>
      <c r="J573" t="str">
        <f>TEXT(SalesData[[#This Row],[Order Date]],"mmm")</f>
        <v>Jul</v>
      </c>
      <c r="K573">
        <f>YEAR(SalesData[[#This Row],[Order Date]])</f>
        <v>2025</v>
      </c>
      <c r="L573" s="3">
        <f>SalesData[[#This Row],[Profit]]/SalesData[[#This Row],[Sales]]</f>
        <v>0.15767480038803075</v>
      </c>
    </row>
    <row r="574" spans="1:12">
      <c r="A574" t="s">
        <v>1001</v>
      </c>
      <c r="B574" s="2">
        <v>45783</v>
      </c>
      <c r="C574" t="s">
        <v>410</v>
      </c>
      <c r="D574" t="s">
        <v>28</v>
      </c>
      <c r="E574" t="s">
        <v>37</v>
      </c>
      <c r="F574" t="s">
        <v>38</v>
      </c>
      <c r="G574">
        <v>131.55000000000001</v>
      </c>
      <c r="H574">
        <v>28.25</v>
      </c>
      <c r="I574">
        <v>5</v>
      </c>
      <c r="J574" t="str">
        <f>TEXT(SalesData[[#This Row],[Order Date]],"mmm")</f>
        <v>May</v>
      </c>
      <c r="K574">
        <f>YEAR(SalesData[[#This Row],[Order Date]])</f>
        <v>2025</v>
      </c>
      <c r="L574" s="3">
        <f>SalesData[[#This Row],[Profit]]/SalesData[[#This Row],[Sales]]</f>
        <v>0.21474724439376661</v>
      </c>
    </row>
    <row r="575" spans="1:12">
      <c r="A575" t="s">
        <v>1002</v>
      </c>
      <c r="B575" s="2">
        <v>45755</v>
      </c>
      <c r="C575" t="s">
        <v>99</v>
      </c>
      <c r="D575" t="s">
        <v>28</v>
      </c>
      <c r="E575" t="s">
        <v>37</v>
      </c>
      <c r="F575" t="s">
        <v>47</v>
      </c>
      <c r="G575">
        <v>56.64</v>
      </c>
      <c r="H575">
        <v>8.17</v>
      </c>
      <c r="I575">
        <v>4</v>
      </c>
      <c r="J575" t="str">
        <f>TEXT(SalesData[[#This Row],[Order Date]],"mmm")</f>
        <v>Apr</v>
      </c>
      <c r="K575">
        <f>YEAR(SalesData[[#This Row],[Order Date]])</f>
        <v>2025</v>
      </c>
      <c r="L575" s="3">
        <f>SalesData[[#This Row],[Profit]]/SalesData[[#This Row],[Sales]]</f>
        <v>0.14424435028248586</v>
      </c>
    </row>
    <row r="576" spans="1:12">
      <c r="A576" t="s">
        <v>1003</v>
      </c>
      <c r="B576" s="2">
        <v>46011</v>
      </c>
      <c r="C576" t="s">
        <v>908</v>
      </c>
      <c r="D576" t="s">
        <v>28</v>
      </c>
      <c r="E576" t="s">
        <v>41</v>
      </c>
      <c r="F576" t="s">
        <v>71</v>
      </c>
      <c r="G576">
        <v>212.73</v>
      </c>
      <c r="H576">
        <v>62.69</v>
      </c>
      <c r="I576">
        <v>1</v>
      </c>
      <c r="J576" t="str">
        <f>TEXT(SalesData[[#This Row],[Order Date]],"mmm")</f>
        <v>Dec</v>
      </c>
      <c r="K576">
        <f>YEAR(SalesData[[#This Row],[Order Date]])</f>
        <v>2025</v>
      </c>
      <c r="L576" s="3">
        <f>SalesData[[#This Row],[Profit]]/SalesData[[#This Row],[Sales]]</f>
        <v>0.29469280308372114</v>
      </c>
    </row>
    <row r="577" spans="1:12">
      <c r="A577" t="s">
        <v>1004</v>
      </c>
      <c r="B577" s="2">
        <v>46014</v>
      </c>
      <c r="C577" t="s">
        <v>1005</v>
      </c>
      <c r="D577" t="s">
        <v>28</v>
      </c>
      <c r="E577" t="s">
        <v>24</v>
      </c>
      <c r="F577" t="s">
        <v>88</v>
      </c>
      <c r="G577">
        <v>100.93</v>
      </c>
      <c r="H577">
        <v>24.48</v>
      </c>
      <c r="I577">
        <v>1</v>
      </c>
      <c r="J577" t="str">
        <f>TEXT(SalesData[[#This Row],[Order Date]],"mmm")</f>
        <v>Dec</v>
      </c>
      <c r="K577">
        <f>YEAR(SalesData[[#This Row],[Order Date]])</f>
        <v>2025</v>
      </c>
      <c r="L577" s="3">
        <f>SalesData[[#This Row],[Profit]]/SalesData[[#This Row],[Sales]]</f>
        <v>0.24254433765976419</v>
      </c>
    </row>
    <row r="578" spans="1:12">
      <c r="A578" t="s">
        <v>1006</v>
      </c>
      <c r="B578" s="2">
        <v>45890</v>
      </c>
      <c r="C578" t="s">
        <v>862</v>
      </c>
      <c r="D578" t="s">
        <v>14</v>
      </c>
      <c r="E578" t="s">
        <v>41</v>
      </c>
      <c r="F578" t="s">
        <v>158</v>
      </c>
      <c r="G578">
        <v>1139.8800000000001</v>
      </c>
      <c r="H578">
        <v>139.97</v>
      </c>
      <c r="I578">
        <v>6</v>
      </c>
      <c r="J578" t="str">
        <f>TEXT(SalesData[[#This Row],[Order Date]],"mmm")</f>
        <v>Aug</v>
      </c>
      <c r="K578">
        <f>YEAR(SalesData[[#This Row],[Order Date]])</f>
        <v>2025</v>
      </c>
      <c r="L578" s="3">
        <f>SalesData[[#This Row],[Profit]]/SalesData[[#This Row],[Sales]]</f>
        <v>0.12279362739937535</v>
      </c>
    </row>
    <row r="579" spans="1:12">
      <c r="A579" t="s">
        <v>1007</v>
      </c>
      <c r="B579" s="2">
        <v>45982</v>
      </c>
      <c r="C579" t="s">
        <v>1008</v>
      </c>
      <c r="D579" t="s">
        <v>23</v>
      </c>
      <c r="E579" t="s">
        <v>41</v>
      </c>
      <c r="F579" t="s">
        <v>68</v>
      </c>
      <c r="G579">
        <v>1448.38</v>
      </c>
      <c r="H579">
        <v>282.64999999999998</v>
      </c>
      <c r="I579">
        <v>5</v>
      </c>
      <c r="J579" t="str">
        <f>TEXT(SalesData[[#This Row],[Order Date]],"mmm")</f>
        <v>Nov</v>
      </c>
      <c r="K579">
        <f>YEAR(SalesData[[#This Row],[Order Date]])</f>
        <v>2025</v>
      </c>
      <c r="L579" s="3">
        <f>SalesData[[#This Row],[Profit]]/SalesData[[#This Row],[Sales]]</f>
        <v>0.19514906309117769</v>
      </c>
    </row>
    <row r="580" spans="1:12">
      <c r="A580" t="s">
        <v>1009</v>
      </c>
      <c r="B580" s="2">
        <v>45829</v>
      </c>
      <c r="C580" t="s">
        <v>1010</v>
      </c>
      <c r="D580" t="s">
        <v>19</v>
      </c>
      <c r="E580" t="s">
        <v>37</v>
      </c>
      <c r="F580" t="s">
        <v>85</v>
      </c>
      <c r="G580">
        <v>46.92</v>
      </c>
      <c r="H580">
        <v>6.86</v>
      </c>
      <c r="I580">
        <v>6</v>
      </c>
      <c r="J580" t="str">
        <f>TEXT(SalesData[[#This Row],[Order Date]],"mmm")</f>
        <v>Jun</v>
      </c>
      <c r="K580">
        <f>YEAR(SalesData[[#This Row],[Order Date]])</f>
        <v>2025</v>
      </c>
      <c r="L580" s="3">
        <f>SalesData[[#This Row],[Profit]]/SalesData[[#This Row],[Sales]]</f>
        <v>0.14620630861040068</v>
      </c>
    </row>
    <row r="581" spans="1:12">
      <c r="A581" t="s">
        <v>1011</v>
      </c>
      <c r="B581" s="2">
        <v>45886</v>
      </c>
      <c r="C581" t="s">
        <v>616</v>
      </c>
      <c r="D581" t="s">
        <v>32</v>
      </c>
      <c r="E581" t="s">
        <v>37</v>
      </c>
      <c r="F581" t="s">
        <v>85</v>
      </c>
      <c r="G581">
        <v>39.24</v>
      </c>
      <c r="H581">
        <v>5.41</v>
      </c>
      <c r="I581">
        <v>1</v>
      </c>
      <c r="J581" t="str">
        <f>TEXT(SalesData[[#This Row],[Order Date]],"mmm")</f>
        <v>Aug</v>
      </c>
      <c r="K581">
        <f>YEAR(SalesData[[#This Row],[Order Date]])</f>
        <v>2025</v>
      </c>
      <c r="L581" s="3">
        <f>SalesData[[#This Row],[Profit]]/SalesData[[#This Row],[Sales]]</f>
        <v>0.13786952089704382</v>
      </c>
    </row>
    <row r="582" spans="1:12">
      <c r="A582" t="s">
        <v>1012</v>
      </c>
      <c r="B582" s="2">
        <v>45913</v>
      </c>
      <c r="C582" t="s">
        <v>84</v>
      </c>
      <c r="D582" t="s">
        <v>23</v>
      </c>
      <c r="E582" t="s">
        <v>37</v>
      </c>
      <c r="F582" t="s">
        <v>85</v>
      </c>
      <c r="G582">
        <v>74.78</v>
      </c>
      <c r="H582">
        <v>12.81</v>
      </c>
      <c r="I582">
        <v>2</v>
      </c>
      <c r="J582" t="str">
        <f>TEXT(SalesData[[#This Row],[Order Date]],"mmm")</f>
        <v>Sep</v>
      </c>
      <c r="K582">
        <f>YEAR(SalesData[[#This Row],[Order Date]])</f>
        <v>2025</v>
      </c>
      <c r="L582" s="3">
        <f>SalesData[[#This Row],[Profit]]/SalesData[[#This Row],[Sales]]</f>
        <v>0.17130248729606848</v>
      </c>
    </row>
    <row r="583" spans="1:12">
      <c r="A583" t="s">
        <v>1013</v>
      </c>
      <c r="B583" s="2">
        <v>45698</v>
      </c>
      <c r="C583" t="s">
        <v>534</v>
      </c>
      <c r="D583" t="s">
        <v>32</v>
      </c>
      <c r="E583" t="s">
        <v>15</v>
      </c>
      <c r="F583" t="s">
        <v>20</v>
      </c>
      <c r="G583">
        <v>61.47</v>
      </c>
      <c r="H583">
        <v>8.2100000000000009</v>
      </c>
      <c r="I583">
        <v>3</v>
      </c>
      <c r="J583" t="str">
        <f>TEXT(SalesData[[#This Row],[Order Date]],"mmm")</f>
        <v>Feb</v>
      </c>
      <c r="K583">
        <f>YEAR(SalesData[[#This Row],[Order Date]])</f>
        <v>2025</v>
      </c>
      <c r="L583" s="3">
        <f>SalesData[[#This Row],[Profit]]/SalesData[[#This Row],[Sales]]</f>
        <v>0.13356108670896374</v>
      </c>
    </row>
    <row r="584" spans="1:12">
      <c r="A584" t="s">
        <v>1014</v>
      </c>
      <c r="B584" s="2">
        <v>45683</v>
      </c>
      <c r="C584" t="s">
        <v>499</v>
      </c>
      <c r="D584" t="s">
        <v>32</v>
      </c>
      <c r="E584" t="s">
        <v>41</v>
      </c>
      <c r="F584" t="s">
        <v>42</v>
      </c>
      <c r="G584">
        <v>434.22</v>
      </c>
      <c r="H584">
        <v>115.83</v>
      </c>
      <c r="I584">
        <v>2</v>
      </c>
      <c r="J584" t="str">
        <f>TEXT(SalesData[[#This Row],[Order Date]],"mmm")</f>
        <v>Jan</v>
      </c>
      <c r="K584">
        <f>YEAR(SalesData[[#This Row],[Order Date]])</f>
        <v>2025</v>
      </c>
      <c r="L584" s="3">
        <f>SalesData[[#This Row],[Profit]]/SalesData[[#This Row],[Sales]]</f>
        <v>0.26675417990880196</v>
      </c>
    </row>
    <row r="585" spans="1:12">
      <c r="A585" t="s">
        <v>1015</v>
      </c>
      <c r="B585" s="2">
        <v>45810</v>
      </c>
      <c r="C585" t="s">
        <v>1016</v>
      </c>
      <c r="D585" t="s">
        <v>32</v>
      </c>
      <c r="E585" t="s">
        <v>15</v>
      </c>
      <c r="F585" t="s">
        <v>16</v>
      </c>
      <c r="G585">
        <v>43.6</v>
      </c>
      <c r="H585">
        <v>6.18</v>
      </c>
      <c r="I585">
        <v>2</v>
      </c>
      <c r="J585" t="str">
        <f>TEXT(SalesData[[#This Row],[Order Date]],"mmm")</f>
        <v>Jun</v>
      </c>
      <c r="K585">
        <f>YEAR(SalesData[[#This Row],[Order Date]])</f>
        <v>2025</v>
      </c>
      <c r="L585" s="3">
        <f>SalesData[[#This Row],[Profit]]/SalesData[[#This Row],[Sales]]</f>
        <v>0.14174311926605504</v>
      </c>
    </row>
    <row r="586" spans="1:12">
      <c r="A586" t="s">
        <v>1017</v>
      </c>
      <c r="B586" s="2">
        <v>45962</v>
      </c>
      <c r="C586" t="s">
        <v>418</v>
      </c>
      <c r="D586" t="s">
        <v>19</v>
      </c>
      <c r="E586" t="s">
        <v>37</v>
      </c>
      <c r="F586" t="s">
        <v>194</v>
      </c>
      <c r="G586">
        <v>190.27</v>
      </c>
      <c r="H586">
        <v>27.57</v>
      </c>
      <c r="I586">
        <v>3</v>
      </c>
      <c r="J586" t="str">
        <f>TEXT(SalesData[[#This Row],[Order Date]],"mmm")</f>
        <v>Nov</v>
      </c>
      <c r="K586">
        <f>YEAR(SalesData[[#This Row],[Order Date]])</f>
        <v>2025</v>
      </c>
      <c r="L586" s="3">
        <f>SalesData[[#This Row],[Profit]]/SalesData[[#This Row],[Sales]]</f>
        <v>0.1448993535502181</v>
      </c>
    </row>
    <row r="587" spans="1:12">
      <c r="A587" t="s">
        <v>1018</v>
      </c>
      <c r="B587" s="2">
        <v>45852</v>
      </c>
      <c r="C587" t="s">
        <v>1019</v>
      </c>
      <c r="D587" t="s">
        <v>28</v>
      </c>
      <c r="E587" t="s">
        <v>41</v>
      </c>
      <c r="F587" t="s">
        <v>42</v>
      </c>
      <c r="G587">
        <v>392.79</v>
      </c>
      <c r="H587">
        <v>51.26</v>
      </c>
      <c r="I587">
        <v>3</v>
      </c>
      <c r="J587" t="str">
        <f>TEXT(SalesData[[#This Row],[Order Date]],"mmm")</f>
        <v>Jul</v>
      </c>
      <c r="K587">
        <f>YEAR(SalesData[[#This Row],[Order Date]])</f>
        <v>2025</v>
      </c>
      <c r="L587" s="3">
        <f>SalesData[[#This Row],[Profit]]/SalesData[[#This Row],[Sales]]</f>
        <v>0.13050230403014332</v>
      </c>
    </row>
    <row r="588" spans="1:12">
      <c r="A588" t="s">
        <v>1020</v>
      </c>
      <c r="B588" s="2">
        <v>45826</v>
      </c>
      <c r="C588" t="s">
        <v>360</v>
      </c>
      <c r="D588" t="s">
        <v>23</v>
      </c>
      <c r="E588" t="s">
        <v>15</v>
      </c>
      <c r="F588" t="s">
        <v>16</v>
      </c>
      <c r="G588">
        <v>32.25</v>
      </c>
      <c r="H588">
        <v>4.38</v>
      </c>
      <c r="I588">
        <v>5</v>
      </c>
      <c r="J588" t="str">
        <f>TEXT(SalesData[[#This Row],[Order Date]],"mmm")</f>
        <v>Jun</v>
      </c>
      <c r="K588">
        <f>YEAR(SalesData[[#This Row],[Order Date]])</f>
        <v>2025</v>
      </c>
      <c r="L588" s="3">
        <f>SalesData[[#This Row],[Profit]]/SalesData[[#This Row],[Sales]]</f>
        <v>0.13581395348837208</v>
      </c>
    </row>
    <row r="589" spans="1:12">
      <c r="A589" t="s">
        <v>1021</v>
      </c>
      <c r="B589" s="2">
        <v>45928</v>
      </c>
      <c r="C589" t="s">
        <v>236</v>
      </c>
      <c r="D589" t="s">
        <v>23</v>
      </c>
      <c r="E589" t="s">
        <v>37</v>
      </c>
      <c r="F589" t="s">
        <v>47</v>
      </c>
      <c r="G589">
        <v>153.96</v>
      </c>
      <c r="H589">
        <v>22.7</v>
      </c>
      <c r="I589">
        <v>4</v>
      </c>
      <c r="J589" t="str">
        <f>TEXT(SalesData[[#This Row],[Order Date]],"mmm")</f>
        <v>Sep</v>
      </c>
      <c r="K589">
        <f>YEAR(SalesData[[#This Row],[Order Date]])</f>
        <v>2025</v>
      </c>
      <c r="L589" s="3">
        <f>SalesData[[#This Row],[Profit]]/SalesData[[#This Row],[Sales]]</f>
        <v>0.14744089373863339</v>
      </c>
    </row>
    <row r="590" spans="1:12">
      <c r="A590" t="s">
        <v>1022</v>
      </c>
      <c r="B590" s="2">
        <v>45977</v>
      </c>
      <c r="C590" t="s">
        <v>1023</v>
      </c>
      <c r="D590" t="s">
        <v>23</v>
      </c>
      <c r="E590" t="s">
        <v>33</v>
      </c>
      <c r="F590" t="s">
        <v>34</v>
      </c>
      <c r="G590">
        <v>4367.63</v>
      </c>
      <c r="H590">
        <v>482.99</v>
      </c>
      <c r="I590">
        <v>6</v>
      </c>
      <c r="J590" t="str">
        <f>TEXT(SalesData[[#This Row],[Order Date]],"mmm")</f>
        <v>Nov</v>
      </c>
      <c r="K590">
        <f>YEAR(SalesData[[#This Row],[Order Date]])</f>
        <v>2025</v>
      </c>
      <c r="L590" s="3">
        <f>SalesData[[#This Row],[Profit]]/SalesData[[#This Row],[Sales]]</f>
        <v>0.11058400093414507</v>
      </c>
    </row>
    <row r="591" spans="1:12">
      <c r="A591" t="s">
        <v>1024</v>
      </c>
      <c r="B591" s="2">
        <v>46020</v>
      </c>
      <c r="C591" t="s">
        <v>310</v>
      </c>
      <c r="D591" t="s">
        <v>32</v>
      </c>
      <c r="E591" t="s">
        <v>15</v>
      </c>
      <c r="F591" t="s">
        <v>109</v>
      </c>
      <c r="G591">
        <v>197.55</v>
      </c>
      <c r="H591">
        <v>16.02</v>
      </c>
      <c r="I591">
        <v>6</v>
      </c>
      <c r="J591" t="str">
        <f>TEXT(SalesData[[#This Row],[Order Date]],"mmm")</f>
        <v>Dec</v>
      </c>
      <c r="K591">
        <f>YEAR(SalesData[[#This Row],[Order Date]])</f>
        <v>2025</v>
      </c>
      <c r="L591" s="3">
        <f>SalesData[[#This Row],[Profit]]/SalesData[[#This Row],[Sales]]</f>
        <v>8.1093394077448741E-2</v>
      </c>
    </row>
    <row r="592" spans="1:12">
      <c r="A592" t="s">
        <v>1025</v>
      </c>
      <c r="B592" s="2">
        <v>45870</v>
      </c>
      <c r="C592" t="s">
        <v>1026</v>
      </c>
      <c r="D592" t="s">
        <v>14</v>
      </c>
      <c r="E592" t="s">
        <v>24</v>
      </c>
      <c r="F592" t="s">
        <v>134</v>
      </c>
      <c r="G592">
        <v>231.4</v>
      </c>
      <c r="H592">
        <v>55.07</v>
      </c>
      <c r="I592">
        <v>1</v>
      </c>
      <c r="J592" t="str">
        <f>TEXT(SalesData[[#This Row],[Order Date]],"mmm")</f>
        <v>Aug</v>
      </c>
      <c r="K592">
        <f>YEAR(SalesData[[#This Row],[Order Date]])</f>
        <v>2025</v>
      </c>
      <c r="L592" s="3">
        <f>SalesData[[#This Row],[Profit]]/SalesData[[#This Row],[Sales]]</f>
        <v>0.23798617113223855</v>
      </c>
    </row>
    <row r="593" spans="1:12">
      <c r="A593" t="s">
        <v>1027</v>
      </c>
      <c r="B593" s="2">
        <v>45692</v>
      </c>
      <c r="C593" t="s">
        <v>810</v>
      </c>
      <c r="D593" t="s">
        <v>23</v>
      </c>
      <c r="E593" t="s">
        <v>33</v>
      </c>
      <c r="F593" t="s">
        <v>52</v>
      </c>
      <c r="G593">
        <v>629.82000000000005</v>
      </c>
      <c r="H593">
        <v>86.93</v>
      </c>
      <c r="I593">
        <v>1</v>
      </c>
      <c r="J593" t="str">
        <f>TEXT(SalesData[[#This Row],[Order Date]],"mmm")</f>
        <v>Feb</v>
      </c>
      <c r="K593">
        <f>YEAR(SalesData[[#This Row],[Order Date]])</f>
        <v>2025</v>
      </c>
      <c r="L593" s="3">
        <f>SalesData[[#This Row],[Profit]]/SalesData[[#This Row],[Sales]]</f>
        <v>0.13802356228763774</v>
      </c>
    </row>
    <row r="594" spans="1:12">
      <c r="A594" t="s">
        <v>1028</v>
      </c>
      <c r="B594" s="2">
        <v>45973</v>
      </c>
      <c r="C594" t="s">
        <v>280</v>
      </c>
      <c r="D594" t="s">
        <v>19</v>
      </c>
      <c r="E594" t="s">
        <v>24</v>
      </c>
      <c r="F594" t="s">
        <v>97</v>
      </c>
      <c r="G594">
        <v>1327.65</v>
      </c>
      <c r="H594">
        <v>142.21</v>
      </c>
      <c r="I594">
        <v>6</v>
      </c>
      <c r="J594" t="str">
        <f>TEXT(SalesData[[#This Row],[Order Date]],"mmm")</f>
        <v>Nov</v>
      </c>
      <c r="K594">
        <f>YEAR(SalesData[[#This Row],[Order Date]])</f>
        <v>2025</v>
      </c>
      <c r="L594" s="3">
        <f>SalesData[[#This Row],[Profit]]/SalesData[[#This Row],[Sales]]</f>
        <v>0.10711407373931382</v>
      </c>
    </row>
    <row r="595" spans="1:12">
      <c r="A595" t="s">
        <v>1029</v>
      </c>
      <c r="B595" s="2">
        <v>45737</v>
      </c>
      <c r="C595" t="s">
        <v>1030</v>
      </c>
      <c r="D595" t="s">
        <v>23</v>
      </c>
      <c r="E595" t="s">
        <v>37</v>
      </c>
      <c r="F595" t="s">
        <v>155</v>
      </c>
      <c r="G595">
        <v>224.12</v>
      </c>
      <c r="H595">
        <v>24.3</v>
      </c>
      <c r="I595">
        <v>4</v>
      </c>
      <c r="J595" t="str">
        <f>TEXT(SalesData[[#This Row],[Order Date]],"mmm")</f>
        <v>Mar</v>
      </c>
      <c r="K595">
        <f>YEAR(SalesData[[#This Row],[Order Date]])</f>
        <v>2025</v>
      </c>
      <c r="L595" s="3">
        <f>SalesData[[#This Row],[Profit]]/SalesData[[#This Row],[Sales]]</f>
        <v>0.10842405854006783</v>
      </c>
    </row>
    <row r="596" spans="1:12">
      <c r="A596" t="s">
        <v>1031</v>
      </c>
      <c r="B596" s="2">
        <v>45947</v>
      </c>
      <c r="C596" t="s">
        <v>210</v>
      </c>
      <c r="D596" t="s">
        <v>23</v>
      </c>
      <c r="E596" t="s">
        <v>33</v>
      </c>
      <c r="F596" t="s">
        <v>170</v>
      </c>
      <c r="G596">
        <v>3147.6</v>
      </c>
      <c r="H596">
        <v>679.63</v>
      </c>
      <c r="I596">
        <v>5</v>
      </c>
      <c r="J596" t="str">
        <f>TEXT(SalesData[[#This Row],[Order Date]],"mmm")</f>
        <v>Oct</v>
      </c>
      <c r="K596">
        <f>YEAR(SalesData[[#This Row],[Order Date]])</f>
        <v>2025</v>
      </c>
      <c r="L596" s="3">
        <f>SalesData[[#This Row],[Profit]]/SalesData[[#This Row],[Sales]]</f>
        <v>0.2159200660820943</v>
      </c>
    </row>
    <row r="597" spans="1:12">
      <c r="A597" t="s">
        <v>1032</v>
      </c>
      <c r="B597" s="2">
        <v>45839</v>
      </c>
      <c r="C597" t="s">
        <v>592</v>
      </c>
      <c r="D597" t="s">
        <v>14</v>
      </c>
      <c r="E597" t="s">
        <v>41</v>
      </c>
      <c r="F597" t="s">
        <v>58</v>
      </c>
      <c r="G597">
        <v>663.84</v>
      </c>
      <c r="H597">
        <v>206.19</v>
      </c>
      <c r="I597">
        <v>4</v>
      </c>
      <c r="J597" t="str">
        <f>TEXT(SalesData[[#This Row],[Order Date]],"mmm")</f>
        <v>Jul</v>
      </c>
      <c r="K597">
        <f>YEAR(SalesData[[#This Row],[Order Date]])</f>
        <v>2025</v>
      </c>
      <c r="L597" s="3">
        <f>SalesData[[#This Row],[Profit]]/SalesData[[#This Row],[Sales]]</f>
        <v>0.31060195227765725</v>
      </c>
    </row>
    <row r="598" spans="1:12">
      <c r="A598" t="s">
        <v>1033</v>
      </c>
      <c r="B598" s="2">
        <v>45857</v>
      </c>
      <c r="C598" t="s">
        <v>450</v>
      </c>
      <c r="D598" t="s">
        <v>32</v>
      </c>
      <c r="E598" t="s">
        <v>37</v>
      </c>
      <c r="F598" t="s">
        <v>47</v>
      </c>
      <c r="G598">
        <v>313.08</v>
      </c>
      <c r="H598">
        <v>64.64</v>
      </c>
      <c r="I598">
        <v>6</v>
      </c>
      <c r="J598" t="str">
        <f>TEXT(SalesData[[#This Row],[Order Date]],"mmm")</f>
        <v>Jul</v>
      </c>
      <c r="K598">
        <f>YEAR(SalesData[[#This Row],[Order Date]])</f>
        <v>2025</v>
      </c>
      <c r="L598" s="3">
        <f>SalesData[[#This Row],[Profit]]/SalesData[[#This Row],[Sales]]</f>
        <v>0.20646480132873388</v>
      </c>
    </row>
    <row r="599" spans="1:12">
      <c r="A599" t="s">
        <v>1034</v>
      </c>
      <c r="B599" s="2">
        <v>45702</v>
      </c>
      <c r="C599" t="s">
        <v>1035</v>
      </c>
      <c r="D599" t="s">
        <v>14</v>
      </c>
      <c r="E599" t="s">
        <v>33</v>
      </c>
      <c r="F599" t="s">
        <v>308</v>
      </c>
      <c r="G599">
        <v>983.18</v>
      </c>
      <c r="H599">
        <v>107.91</v>
      </c>
      <c r="I599">
        <v>2</v>
      </c>
      <c r="J599" t="str">
        <f>TEXT(SalesData[[#This Row],[Order Date]],"mmm")</f>
        <v>Feb</v>
      </c>
      <c r="K599">
        <f>YEAR(SalesData[[#This Row],[Order Date]])</f>
        <v>2025</v>
      </c>
      <c r="L599" s="3">
        <f>SalesData[[#This Row],[Profit]]/SalesData[[#This Row],[Sales]]</f>
        <v>0.10975609756097561</v>
      </c>
    </row>
    <row r="600" spans="1:12">
      <c r="A600" t="s">
        <v>1036</v>
      </c>
      <c r="B600" s="2">
        <v>45677</v>
      </c>
      <c r="C600" t="s">
        <v>201</v>
      </c>
      <c r="D600" t="s">
        <v>32</v>
      </c>
      <c r="E600" t="s">
        <v>24</v>
      </c>
      <c r="F600" t="s">
        <v>25</v>
      </c>
      <c r="G600">
        <v>1274.56</v>
      </c>
      <c r="H600">
        <v>166.73</v>
      </c>
      <c r="I600">
        <v>4</v>
      </c>
      <c r="J600" t="str">
        <f>TEXT(SalesData[[#This Row],[Order Date]],"mmm")</f>
        <v>Jan</v>
      </c>
      <c r="K600">
        <f>YEAR(SalesData[[#This Row],[Order Date]])</f>
        <v>2025</v>
      </c>
      <c r="L600" s="3">
        <f>SalesData[[#This Row],[Profit]]/SalesData[[#This Row],[Sales]]</f>
        <v>0.13081377102686417</v>
      </c>
    </row>
    <row r="601" spans="1:12">
      <c r="A601" t="s">
        <v>1037</v>
      </c>
      <c r="B601" s="2">
        <v>45905</v>
      </c>
      <c r="C601" t="s">
        <v>176</v>
      </c>
      <c r="D601" t="s">
        <v>14</v>
      </c>
      <c r="E601" t="s">
        <v>41</v>
      </c>
      <c r="F601" t="s">
        <v>158</v>
      </c>
      <c r="G601">
        <v>209.98</v>
      </c>
      <c r="H601">
        <v>70.239999999999995</v>
      </c>
      <c r="I601">
        <v>1</v>
      </c>
      <c r="J601" t="str">
        <f>TEXT(SalesData[[#This Row],[Order Date]],"mmm")</f>
        <v>Sep</v>
      </c>
      <c r="K601">
        <f>YEAR(SalesData[[#This Row],[Order Date]])</f>
        <v>2025</v>
      </c>
      <c r="L601" s="3">
        <f>SalesData[[#This Row],[Profit]]/SalesData[[#This Row],[Sales]]</f>
        <v>0.33450804838556053</v>
      </c>
    </row>
    <row r="602" spans="1:12">
      <c r="A602" t="s">
        <v>1038</v>
      </c>
      <c r="B602" s="2">
        <v>45725</v>
      </c>
      <c r="C602" t="s">
        <v>1039</v>
      </c>
      <c r="D602" t="s">
        <v>28</v>
      </c>
      <c r="E602" t="s">
        <v>24</v>
      </c>
      <c r="F602" t="s">
        <v>55</v>
      </c>
      <c r="G602">
        <v>21.36</v>
      </c>
      <c r="H602">
        <v>6.12</v>
      </c>
      <c r="I602">
        <v>1</v>
      </c>
      <c r="J602" t="str">
        <f>TEXT(SalesData[[#This Row],[Order Date]],"mmm")</f>
        <v>Mar</v>
      </c>
      <c r="K602">
        <f>YEAR(SalesData[[#This Row],[Order Date]])</f>
        <v>2025</v>
      </c>
      <c r="L602" s="3">
        <f>SalesData[[#This Row],[Profit]]/SalesData[[#This Row],[Sales]]</f>
        <v>0.2865168539325843</v>
      </c>
    </row>
    <row r="603" spans="1:12">
      <c r="A603" t="s">
        <v>1040</v>
      </c>
      <c r="B603" s="2">
        <v>45962</v>
      </c>
      <c r="C603" t="s">
        <v>226</v>
      </c>
      <c r="D603" t="s">
        <v>14</v>
      </c>
      <c r="E603" t="s">
        <v>33</v>
      </c>
      <c r="F603" t="s">
        <v>52</v>
      </c>
      <c r="G603">
        <v>632.89</v>
      </c>
      <c r="H603">
        <v>84.25</v>
      </c>
      <c r="I603">
        <v>1</v>
      </c>
      <c r="J603" t="str">
        <f>TEXT(SalesData[[#This Row],[Order Date]],"mmm")</f>
        <v>Nov</v>
      </c>
      <c r="K603">
        <f>YEAR(SalesData[[#This Row],[Order Date]])</f>
        <v>2025</v>
      </c>
      <c r="L603" s="3">
        <f>SalesData[[#This Row],[Profit]]/SalesData[[#This Row],[Sales]]</f>
        <v>0.13311949943908105</v>
      </c>
    </row>
    <row r="604" spans="1:12">
      <c r="A604" t="s">
        <v>1041</v>
      </c>
      <c r="B604" s="2">
        <v>45817</v>
      </c>
      <c r="C604" t="s">
        <v>780</v>
      </c>
      <c r="D604" t="s">
        <v>14</v>
      </c>
      <c r="E604" t="s">
        <v>15</v>
      </c>
      <c r="F604" t="s">
        <v>29</v>
      </c>
      <c r="G604">
        <v>54.93</v>
      </c>
      <c r="H604">
        <v>9.11</v>
      </c>
      <c r="I604">
        <v>3</v>
      </c>
      <c r="J604" t="str">
        <f>TEXT(SalesData[[#This Row],[Order Date]],"mmm")</f>
        <v>Jun</v>
      </c>
      <c r="K604">
        <f>YEAR(SalesData[[#This Row],[Order Date]])</f>
        <v>2025</v>
      </c>
      <c r="L604" s="3">
        <f>SalesData[[#This Row],[Profit]]/SalesData[[#This Row],[Sales]]</f>
        <v>0.16584744219916256</v>
      </c>
    </row>
    <row r="605" spans="1:12">
      <c r="A605" t="s">
        <v>1042</v>
      </c>
      <c r="B605" s="2">
        <v>45797</v>
      </c>
      <c r="C605" t="s">
        <v>403</v>
      </c>
      <c r="D605" t="s">
        <v>14</v>
      </c>
      <c r="E605" t="s">
        <v>15</v>
      </c>
      <c r="F605" t="s">
        <v>20</v>
      </c>
      <c r="G605">
        <v>89.25</v>
      </c>
      <c r="H605">
        <v>7.23</v>
      </c>
      <c r="I605">
        <v>5</v>
      </c>
      <c r="J605" t="str">
        <f>TEXT(SalesData[[#This Row],[Order Date]],"mmm")</f>
        <v>May</v>
      </c>
      <c r="K605">
        <f>YEAR(SalesData[[#This Row],[Order Date]])</f>
        <v>2025</v>
      </c>
      <c r="L605" s="3">
        <f>SalesData[[#This Row],[Profit]]/SalesData[[#This Row],[Sales]]</f>
        <v>8.1008403361344544E-2</v>
      </c>
    </row>
    <row r="606" spans="1:12">
      <c r="A606" t="s">
        <v>1043</v>
      </c>
      <c r="B606" s="2">
        <v>45821</v>
      </c>
      <c r="C606" t="s">
        <v>793</v>
      </c>
      <c r="D606" t="s">
        <v>14</v>
      </c>
      <c r="E606" t="s">
        <v>33</v>
      </c>
      <c r="F606" t="s">
        <v>170</v>
      </c>
      <c r="G606">
        <v>307.77999999999997</v>
      </c>
      <c r="H606">
        <v>71.31</v>
      </c>
      <c r="I606">
        <v>1</v>
      </c>
      <c r="J606" t="str">
        <f>TEXT(SalesData[[#This Row],[Order Date]],"mmm")</f>
        <v>Jun</v>
      </c>
      <c r="K606">
        <f>YEAR(SalesData[[#This Row],[Order Date]])</f>
        <v>2025</v>
      </c>
      <c r="L606" s="3">
        <f>SalesData[[#This Row],[Profit]]/SalesData[[#This Row],[Sales]]</f>
        <v>0.2316914679316395</v>
      </c>
    </row>
    <row r="607" spans="1:12">
      <c r="A607" t="s">
        <v>1044</v>
      </c>
      <c r="B607" s="2">
        <v>45683</v>
      </c>
      <c r="C607" t="s">
        <v>301</v>
      </c>
      <c r="D607" t="s">
        <v>28</v>
      </c>
      <c r="E607" t="s">
        <v>37</v>
      </c>
      <c r="F607" t="s">
        <v>38</v>
      </c>
      <c r="G607">
        <v>26.1</v>
      </c>
      <c r="H607">
        <v>2.95</v>
      </c>
      <c r="I607">
        <v>1</v>
      </c>
      <c r="J607" t="str">
        <f>TEXT(SalesData[[#This Row],[Order Date]],"mmm")</f>
        <v>Jan</v>
      </c>
      <c r="K607">
        <f>YEAR(SalesData[[#This Row],[Order Date]])</f>
        <v>2025</v>
      </c>
      <c r="L607" s="3">
        <f>SalesData[[#This Row],[Profit]]/SalesData[[#This Row],[Sales]]</f>
        <v>0.11302681992337164</v>
      </c>
    </row>
    <row r="608" spans="1:12">
      <c r="A608" t="s">
        <v>1045</v>
      </c>
      <c r="B608" s="2">
        <v>46018</v>
      </c>
      <c r="C608" t="s">
        <v>1000</v>
      </c>
      <c r="D608" t="s">
        <v>28</v>
      </c>
      <c r="E608" t="s">
        <v>41</v>
      </c>
      <c r="F608" t="s">
        <v>58</v>
      </c>
      <c r="G608">
        <v>823.48</v>
      </c>
      <c r="H608">
        <v>220.46</v>
      </c>
      <c r="I608">
        <v>3</v>
      </c>
      <c r="J608" t="str">
        <f>TEXT(SalesData[[#This Row],[Order Date]],"mmm")</f>
        <v>Dec</v>
      </c>
      <c r="K608">
        <f>YEAR(SalesData[[#This Row],[Order Date]])</f>
        <v>2025</v>
      </c>
      <c r="L608" s="3">
        <f>SalesData[[#This Row],[Profit]]/SalesData[[#This Row],[Sales]]</f>
        <v>0.26771749162092584</v>
      </c>
    </row>
    <row r="609" spans="1:12">
      <c r="A609" t="s">
        <v>1046</v>
      </c>
      <c r="B609" s="2">
        <v>45896</v>
      </c>
      <c r="C609" t="s">
        <v>1010</v>
      </c>
      <c r="D609" t="s">
        <v>32</v>
      </c>
      <c r="E609" t="s">
        <v>41</v>
      </c>
      <c r="F609" t="s">
        <v>71</v>
      </c>
      <c r="G609">
        <v>127.51</v>
      </c>
      <c r="H609">
        <v>34.57</v>
      </c>
      <c r="I609">
        <v>1</v>
      </c>
      <c r="J609" t="str">
        <f>TEXT(SalesData[[#This Row],[Order Date]],"mmm")</f>
        <v>Aug</v>
      </c>
      <c r="K609">
        <f>YEAR(SalesData[[#This Row],[Order Date]])</f>
        <v>2025</v>
      </c>
      <c r="L609" s="3">
        <f>SalesData[[#This Row],[Profit]]/SalesData[[#This Row],[Sales]]</f>
        <v>0.2711159909026743</v>
      </c>
    </row>
    <row r="610" spans="1:12">
      <c r="A610" t="s">
        <v>1047</v>
      </c>
      <c r="B610" s="2">
        <v>45896</v>
      </c>
      <c r="C610" t="s">
        <v>1035</v>
      </c>
      <c r="D610" t="s">
        <v>19</v>
      </c>
      <c r="E610" t="s">
        <v>15</v>
      </c>
      <c r="F610" t="s">
        <v>20</v>
      </c>
      <c r="G610">
        <v>83.46</v>
      </c>
      <c r="H610">
        <v>9.08</v>
      </c>
      <c r="I610">
        <v>3</v>
      </c>
      <c r="J610" t="str">
        <f>TEXT(SalesData[[#This Row],[Order Date]],"mmm")</f>
        <v>Aug</v>
      </c>
      <c r="K610">
        <f>YEAR(SalesData[[#This Row],[Order Date]])</f>
        <v>2025</v>
      </c>
      <c r="L610" s="3">
        <f>SalesData[[#This Row],[Profit]]/SalesData[[#This Row],[Sales]]</f>
        <v>0.10879463215911815</v>
      </c>
    </row>
    <row r="611" spans="1:12">
      <c r="A611" t="s">
        <v>1048</v>
      </c>
      <c r="B611" s="2">
        <v>45998</v>
      </c>
      <c r="C611" t="s">
        <v>1049</v>
      </c>
      <c r="D611" t="s">
        <v>28</v>
      </c>
      <c r="E611" t="s">
        <v>33</v>
      </c>
      <c r="F611" t="s">
        <v>52</v>
      </c>
      <c r="G611">
        <v>681.89</v>
      </c>
      <c r="H611">
        <v>152.59</v>
      </c>
      <c r="I611">
        <v>4</v>
      </c>
      <c r="J611" t="str">
        <f>TEXT(SalesData[[#This Row],[Order Date]],"mmm")</f>
        <v>Dec</v>
      </c>
      <c r="K611">
        <f>YEAR(SalesData[[#This Row],[Order Date]])</f>
        <v>2025</v>
      </c>
      <c r="L611" s="3">
        <f>SalesData[[#This Row],[Profit]]/SalesData[[#This Row],[Sales]]</f>
        <v>0.22377509568992068</v>
      </c>
    </row>
    <row r="612" spans="1:12">
      <c r="A612" t="s">
        <v>1050</v>
      </c>
      <c r="B612" s="2">
        <v>45836</v>
      </c>
      <c r="C612" t="s">
        <v>1000</v>
      </c>
      <c r="D612" t="s">
        <v>19</v>
      </c>
      <c r="E612" t="s">
        <v>33</v>
      </c>
      <c r="F612" t="s">
        <v>63</v>
      </c>
      <c r="G612">
        <v>4351.26</v>
      </c>
      <c r="H612">
        <v>589.15</v>
      </c>
      <c r="I612">
        <v>6</v>
      </c>
      <c r="J612" t="str">
        <f>TEXT(SalesData[[#This Row],[Order Date]],"mmm")</f>
        <v>Jun</v>
      </c>
      <c r="K612">
        <f>YEAR(SalesData[[#This Row],[Order Date]])</f>
        <v>2025</v>
      </c>
      <c r="L612" s="3">
        <f>SalesData[[#This Row],[Profit]]/SalesData[[#This Row],[Sales]]</f>
        <v>0.13539756300473885</v>
      </c>
    </row>
    <row r="613" spans="1:12">
      <c r="A613" t="s">
        <v>1051</v>
      </c>
      <c r="B613" s="2">
        <v>45812</v>
      </c>
      <c r="C613" t="s">
        <v>1052</v>
      </c>
      <c r="D613" t="s">
        <v>28</v>
      </c>
      <c r="E613" t="s">
        <v>33</v>
      </c>
      <c r="F613" t="s">
        <v>170</v>
      </c>
      <c r="G613">
        <v>1247.8499999999999</v>
      </c>
      <c r="H613">
        <v>133.56</v>
      </c>
      <c r="I613">
        <v>5</v>
      </c>
      <c r="J613" t="str">
        <f>TEXT(SalesData[[#This Row],[Order Date]],"mmm")</f>
        <v>Jun</v>
      </c>
      <c r="K613">
        <f>YEAR(SalesData[[#This Row],[Order Date]])</f>
        <v>2025</v>
      </c>
      <c r="L613" s="3">
        <f>SalesData[[#This Row],[Profit]]/SalesData[[#This Row],[Sales]]</f>
        <v>0.10703209520375045</v>
      </c>
    </row>
    <row r="614" spans="1:12">
      <c r="A614" t="s">
        <v>1053</v>
      </c>
      <c r="B614" s="2">
        <v>45691</v>
      </c>
      <c r="C614" t="s">
        <v>1054</v>
      </c>
      <c r="D614" t="s">
        <v>23</v>
      </c>
      <c r="E614" t="s">
        <v>24</v>
      </c>
      <c r="F614" t="s">
        <v>88</v>
      </c>
      <c r="G614">
        <v>1399.1</v>
      </c>
      <c r="H614">
        <v>292.27999999999997</v>
      </c>
      <c r="I614">
        <v>5</v>
      </c>
      <c r="J614" t="str">
        <f>TEXT(SalesData[[#This Row],[Order Date]],"mmm")</f>
        <v>Feb</v>
      </c>
      <c r="K614">
        <f>YEAR(SalesData[[#This Row],[Order Date]])</f>
        <v>2025</v>
      </c>
      <c r="L614" s="3">
        <f>SalesData[[#This Row],[Profit]]/SalesData[[#This Row],[Sales]]</f>
        <v>0.20890572510899863</v>
      </c>
    </row>
    <row r="615" spans="1:12">
      <c r="A615" t="s">
        <v>1055</v>
      </c>
      <c r="B615" s="2">
        <v>45997</v>
      </c>
      <c r="C615" t="s">
        <v>614</v>
      </c>
      <c r="D615" t="s">
        <v>23</v>
      </c>
      <c r="E615" t="s">
        <v>41</v>
      </c>
      <c r="F615" t="s">
        <v>42</v>
      </c>
      <c r="G615">
        <v>952.82</v>
      </c>
      <c r="H615">
        <v>118.54</v>
      </c>
      <c r="I615">
        <v>5</v>
      </c>
      <c r="J615" t="str">
        <f>TEXT(SalesData[[#This Row],[Order Date]],"mmm")</f>
        <v>Dec</v>
      </c>
      <c r="K615">
        <f>YEAR(SalesData[[#This Row],[Order Date]])</f>
        <v>2025</v>
      </c>
      <c r="L615" s="3">
        <f>SalesData[[#This Row],[Profit]]/SalesData[[#This Row],[Sales]]</f>
        <v>0.12440964715266262</v>
      </c>
    </row>
    <row r="616" spans="1:12">
      <c r="A616" t="s">
        <v>1056</v>
      </c>
      <c r="B616" s="2">
        <v>45815</v>
      </c>
      <c r="C616" t="s">
        <v>523</v>
      </c>
      <c r="D616" t="s">
        <v>23</v>
      </c>
      <c r="E616" t="s">
        <v>15</v>
      </c>
      <c r="F616" t="s">
        <v>20</v>
      </c>
      <c r="G616">
        <v>52.76</v>
      </c>
      <c r="H616">
        <v>7.74</v>
      </c>
      <c r="I616">
        <v>4</v>
      </c>
      <c r="J616" t="str">
        <f>TEXT(SalesData[[#This Row],[Order Date]],"mmm")</f>
        <v>Jun</v>
      </c>
      <c r="K616">
        <f>YEAR(SalesData[[#This Row],[Order Date]])</f>
        <v>2025</v>
      </c>
      <c r="L616" s="3">
        <f>SalesData[[#This Row],[Profit]]/SalesData[[#This Row],[Sales]]</f>
        <v>0.14670204700530706</v>
      </c>
    </row>
    <row r="617" spans="1:12">
      <c r="A617" t="s">
        <v>1057</v>
      </c>
      <c r="B617" s="2">
        <v>45769</v>
      </c>
      <c r="C617" t="s">
        <v>551</v>
      </c>
      <c r="D617" t="s">
        <v>23</v>
      </c>
      <c r="E617" t="s">
        <v>37</v>
      </c>
      <c r="F617" t="s">
        <v>38</v>
      </c>
      <c r="G617">
        <v>82.7</v>
      </c>
      <c r="H617">
        <v>13.89</v>
      </c>
      <c r="I617">
        <v>2</v>
      </c>
      <c r="J617" t="str">
        <f>TEXT(SalesData[[#This Row],[Order Date]],"mmm")</f>
        <v>Apr</v>
      </c>
      <c r="K617">
        <f>YEAR(SalesData[[#This Row],[Order Date]])</f>
        <v>2025</v>
      </c>
      <c r="L617" s="3">
        <f>SalesData[[#This Row],[Profit]]/SalesData[[#This Row],[Sales]]</f>
        <v>0.16795646916565901</v>
      </c>
    </row>
    <row r="618" spans="1:12">
      <c r="A618" t="s">
        <v>1058</v>
      </c>
      <c r="B618" s="2">
        <v>45973</v>
      </c>
      <c r="C618" t="s">
        <v>1059</v>
      </c>
      <c r="D618" t="s">
        <v>19</v>
      </c>
      <c r="E618" t="s">
        <v>15</v>
      </c>
      <c r="F618" t="s">
        <v>29</v>
      </c>
      <c r="G618">
        <v>79.39</v>
      </c>
      <c r="H618">
        <v>7.6</v>
      </c>
      <c r="I618">
        <v>3</v>
      </c>
      <c r="J618" t="str">
        <f>TEXT(SalesData[[#This Row],[Order Date]],"mmm")</f>
        <v>Nov</v>
      </c>
      <c r="K618">
        <f>YEAR(SalesData[[#This Row],[Order Date]])</f>
        <v>2025</v>
      </c>
      <c r="L618" s="3">
        <f>SalesData[[#This Row],[Profit]]/SalesData[[#This Row],[Sales]]</f>
        <v>9.5729940798589236E-2</v>
      </c>
    </row>
    <row r="619" spans="1:12">
      <c r="A619" t="s">
        <v>1060</v>
      </c>
      <c r="B619" s="2">
        <v>45880</v>
      </c>
      <c r="C619" t="s">
        <v>736</v>
      </c>
      <c r="D619" t="s">
        <v>32</v>
      </c>
      <c r="E619" t="s">
        <v>33</v>
      </c>
      <c r="F619" t="s">
        <v>34</v>
      </c>
      <c r="G619">
        <v>1938.05</v>
      </c>
      <c r="H619">
        <v>197.07</v>
      </c>
      <c r="I619">
        <v>5</v>
      </c>
      <c r="J619" t="str">
        <f>TEXT(SalesData[[#This Row],[Order Date]],"mmm")</f>
        <v>Aug</v>
      </c>
      <c r="K619">
        <f>YEAR(SalesData[[#This Row],[Order Date]])</f>
        <v>2025</v>
      </c>
      <c r="L619" s="3">
        <f>SalesData[[#This Row],[Profit]]/SalesData[[#This Row],[Sales]]</f>
        <v>0.10168468305771265</v>
      </c>
    </row>
    <row r="620" spans="1:12">
      <c r="A620" t="s">
        <v>1061</v>
      </c>
      <c r="B620" s="2">
        <v>45847</v>
      </c>
      <c r="C620" t="s">
        <v>397</v>
      </c>
      <c r="D620" t="s">
        <v>32</v>
      </c>
      <c r="E620" t="s">
        <v>15</v>
      </c>
      <c r="F620" t="s">
        <v>20</v>
      </c>
      <c r="G620">
        <v>23.22</v>
      </c>
      <c r="H620">
        <v>2.14</v>
      </c>
      <c r="I620">
        <v>3</v>
      </c>
      <c r="J620" t="str">
        <f>TEXT(SalesData[[#This Row],[Order Date]],"mmm")</f>
        <v>Jul</v>
      </c>
      <c r="K620">
        <f>YEAR(SalesData[[#This Row],[Order Date]])</f>
        <v>2025</v>
      </c>
      <c r="L620" s="3">
        <f>SalesData[[#This Row],[Profit]]/SalesData[[#This Row],[Sales]]</f>
        <v>9.2161929371231702E-2</v>
      </c>
    </row>
    <row r="621" spans="1:12">
      <c r="A621" t="s">
        <v>1062</v>
      </c>
      <c r="B621" s="2">
        <v>45879</v>
      </c>
      <c r="C621" t="s">
        <v>462</v>
      </c>
      <c r="D621" t="s">
        <v>28</v>
      </c>
      <c r="E621" t="s">
        <v>41</v>
      </c>
      <c r="F621" t="s">
        <v>71</v>
      </c>
      <c r="G621">
        <v>443.4</v>
      </c>
      <c r="H621">
        <v>104.77</v>
      </c>
      <c r="I621">
        <v>4</v>
      </c>
      <c r="J621" t="str">
        <f>TEXT(SalesData[[#This Row],[Order Date]],"mmm")</f>
        <v>Aug</v>
      </c>
      <c r="K621">
        <f>YEAR(SalesData[[#This Row],[Order Date]])</f>
        <v>2025</v>
      </c>
      <c r="L621" s="3">
        <f>SalesData[[#This Row],[Profit]]/SalesData[[#This Row],[Sales]]</f>
        <v>0.23628777627424447</v>
      </c>
    </row>
    <row r="622" spans="1:12">
      <c r="A622" t="s">
        <v>1063</v>
      </c>
      <c r="B622" s="2">
        <v>45901</v>
      </c>
      <c r="C622" t="s">
        <v>1064</v>
      </c>
      <c r="D622" t="s">
        <v>23</v>
      </c>
      <c r="E622" t="s">
        <v>24</v>
      </c>
      <c r="F622" t="s">
        <v>97</v>
      </c>
      <c r="G622">
        <v>283.64</v>
      </c>
      <c r="H622">
        <v>84.95</v>
      </c>
      <c r="I622">
        <v>4</v>
      </c>
      <c r="J622" t="str">
        <f>TEXT(SalesData[[#This Row],[Order Date]],"mmm")</f>
        <v>Sep</v>
      </c>
      <c r="K622">
        <f>YEAR(SalesData[[#This Row],[Order Date]])</f>
        <v>2025</v>
      </c>
      <c r="L622" s="3">
        <f>SalesData[[#This Row],[Profit]]/SalesData[[#This Row],[Sales]]</f>
        <v>0.2994993653927514</v>
      </c>
    </row>
    <row r="623" spans="1:12">
      <c r="A623" t="s">
        <v>1065</v>
      </c>
      <c r="B623" s="2">
        <v>45726</v>
      </c>
      <c r="C623" t="s">
        <v>18</v>
      </c>
      <c r="D623" t="s">
        <v>32</v>
      </c>
      <c r="E623" t="s">
        <v>15</v>
      </c>
      <c r="F623" t="s">
        <v>109</v>
      </c>
      <c r="G623">
        <v>95.52</v>
      </c>
      <c r="H623">
        <v>18.96</v>
      </c>
      <c r="I623">
        <v>6</v>
      </c>
      <c r="J623" t="str">
        <f>TEXT(SalesData[[#This Row],[Order Date]],"mmm")</f>
        <v>Mar</v>
      </c>
      <c r="K623">
        <f>YEAR(SalesData[[#This Row],[Order Date]])</f>
        <v>2025</v>
      </c>
      <c r="L623" s="3">
        <f>SalesData[[#This Row],[Profit]]/SalesData[[#This Row],[Sales]]</f>
        <v>0.19849246231155782</v>
      </c>
    </row>
    <row r="624" spans="1:12">
      <c r="A624" t="s">
        <v>1066</v>
      </c>
      <c r="B624" s="2">
        <v>45986</v>
      </c>
      <c r="C624" t="s">
        <v>1067</v>
      </c>
      <c r="D624" t="s">
        <v>28</v>
      </c>
      <c r="E624" t="s">
        <v>37</v>
      </c>
      <c r="F624" t="s">
        <v>194</v>
      </c>
      <c r="G624">
        <v>194.25</v>
      </c>
      <c r="H624">
        <v>31.78</v>
      </c>
      <c r="I624">
        <v>4</v>
      </c>
      <c r="J624" t="str">
        <f>TEXT(SalesData[[#This Row],[Order Date]],"mmm")</f>
        <v>Nov</v>
      </c>
      <c r="K624">
        <f>YEAR(SalesData[[#This Row],[Order Date]])</f>
        <v>2025</v>
      </c>
      <c r="L624" s="3">
        <f>SalesData[[#This Row],[Profit]]/SalesData[[#This Row],[Sales]]</f>
        <v>0.1636036036036036</v>
      </c>
    </row>
    <row r="625" spans="1:12">
      <c r="A625" t="s">
        <v>1068</v>
      </c>
      <c r="B625" s="2">
        <v>45854</v>
      </c>
      <c r="C625" t="s">
        <v>51</v>
      </c>
      <c r="D625" t="s">
        <v>19</v>
      </c>
      <c r="E625" t="s">
        <v>24</v>
      </c>
      <c r="F625" t="s">
        <v>25</v>
      </c>
      <c r="G625">
        <v>921.95</v>
      </c>
      <c r="H625">
        <v>226.97</v>
      </c>
      <c r="I625">
        <v>5</v>
      </c>
      <c r="J625" t="str">
        <f>TEXT(SalesData[[#This Row],[Order Date]],"mmm")</f>
        <v>Jul</v>
      </c>
      <c r="K625">
        <f>YEAR(SalesData[[#This Row],[Order Date]])</f>
        <v>2025</v>
      </c>
      <c r="L625" s="3">
        <f>SalesData[[#This Row],[Profit]]/SalesData[[#This Row],[Sales]]</f>
        <v>0.24618471717555179</v>
      </c>
    </row>
    <row r="626" spans="1:12">
      <c r="A626" t="s">
        <v>1069</v>
      </c>
      <c r="B626" s="2">
        <v>45795</v>
      </c>
      <c r="C626" t="s">
        <v>472</v>
      </c>
      <c r="D626" t="s">
        <v>23</v>
      </c>
      <c r="E626" t="s">
        <v>24</v>
      </c>
      <c r="F626" t="s">
        <v>25</v>
      </c>
      <c r="G626">
        <v>897.4</v>
      </c>
      <c r="H626">
        <v>155.88999999999999</v>
      </c>
      <c r="I626">
        <v>5</v>
      </c>
      <c r="J626" t="str">
        <f>TEXT(SalesData[[#This Row],[Order Date]],"mmm")</f>
        <v>May</v>
      </c>
      <c r="K626">
        <f>YEAR(SalesData[[#This Row],[Order Date]])</f>
        <v>2025</v>
      </c>
      <c r="L626" s="3">
        <f>SalesData[[#This Row],[Profit]]/SalesData[[#This Row],[Sales]]</f>
        <v>0.1737129485179407</v>
      </c>
    </row>
    <row r="627" spans="1:12">
      <c r="A627" t="s">
        <v>1070</v>
      </c>
      <c r="B627" s="2">
        <v>46011</v>
      </c>
      <c r="C627" t="s">
        <v>592</v>
      </c>
      <c r="D627" t="s">
        <v>23</v>
      </c>
      <c r="E627" t="s">
        <v>37</v>
      </c>
      <c r="F627" t="s">
        <v>47</v>
      </c>
      <c r="G627">
        <v>168.09</v>
      </c>
      <c r="H627">
        <v>32.19</v>
      </c>
      <c r="I627">
        <v>4</v>
      </c>
      <c r="J627" t="str">
        <f>TEXT(SalesData[[#This Row],[Order Date]],"mmm")</f>
        <v>Dec</v>
      </c>
      <c r="K627">
        <f>YEAR(SalesData[[#This Row],[Order Date]])</f>
        <v>2025</v>
      </c>
      <c r="L627" s="3">
        <f>SalesData[[#This Row],[Profit]]/SalesData[[#This Row],[Sales]]</f>
        <v>0.1915045511333214</v>
      </c>
    </row>
    <row r="628" spans="1:12">
      <c r="A628" t="s">
        <v>1071</v>
      </c>
      <c r="B628" s="2">
        <v>45980</v>
      </c>
      <c r="C628" t="s">
        <v>240</v>
      </c>
      <c r="D628" t="s">
        <v>23</v>
      </c>
      <c r="E628" t="s">
        <v>41</v>
      </c>
      <c r="F628" t="s">
        <v>58</v>
      </c>
      <c r="G628">
        <v>221.78</v>
      </c>
      <c r="H628">
        <v>65.34</v>
      </c>
      <c r="I628">
        <v>5</v>
      </c>
      <c r="J628" t="str">
        <f>TEXT(SalesData[[#This Row],[Order Date]],"mmm")</f>
        <v>Nov</v>
      </c>
      <c r="K628">
        <f>YEAR(SalesData[[#This Row],[Order Date]])</f>
        <v>2025</v>
      </c>
      <c r="L628" s="3">
        <f>SalesData[[#This Row],[Profit]]/SalesData[[#This Row],[Sales]]</f>
        <v>0.29461628640995585</v>
      </c>
    </row>
    <row r="629" spans="1:12">
      <c r="A629" t="s">
        <v>1072</v>
      </c>
      <c r="B629" s="2">
        <v>45920</v>
      </c>
      <c r="C629" t="s">
        <v>682</v>
      </c>
      <c r="D629" t="s">
        <v>23</v>
      </c>
      <c r="E629" t="s">
        <v>41</v>
      </c>
      <c r="F629" t="s">
        <v>71</v>
      </c>
      <c r="G629">
        <v>723.39</v>
      </c>
      <c r="H629">
        <v>216.7</v>
      </c>
      <c r="I629">
        <v>3</v>
      </c>
      <c r="J629" t="str">
        <f>TEXT(SalesData[[#This Row],[Order Date]],"mmm")</f>
        <v>Sep</v>
      </c>
      <c r="K629">
        <f>YEAR(SalesData[[#This Row],[Order Date]])</f>
        <v>2025</v>
      </c>
      <c r="L629" s="3">
        <f>SalesData[[#This Row],[Profit]]/SalesData[[#This Row],[Sales]]</f>
        <v>0.29956178548224333</v>
      </c>
    </row>
    <row r="630" spans="1:12">
      <c r="A630" t="s">
        <v>1073</v>
      </c>
      <c r="B630" s="2">
        <v>45676</v>
      </c>
      <c r="C630" t="s">
        <v>1074</v>
      </c>
      <c r="D630" t="s">
        <v>14</v>
      </c>
      <c r="E630" t="s">
        <v>41</v>
      </c>
      <c r="F630" t="s">
        <v>68</v>
      </c>
      <c r="G630">
        <v>116.46</v>
      </c>
      <c r="H630">
        <v>25.42</v>
      </c>
      <c r="I630">
        <v>3</v>
      </c>
      <c r="J630" t="str">
        <f>TEXT(SalesData[[#This Row],[Order Date]],"mmm")</f>
        <v>Jan</v>
      </c>
      <c r="K630">
        <f>YEAR(SalesData[[#This Row],[Order Date]])</f>
        <v>2025</v>
      </c>
      <c r="L630" s="3">
        <f>SalesData[[#This Row],[Profit]]/SalesData[[#This Row],[Sales]]</f>
        <v>0.21827236819508847</v>
      </c>
    </row>
    <row r="631" spans="1:12">
      <c r="A631" t="s">
        <v>1075</v>
      </c>
      <c r="B631" s="2">
        <v>45684</v>
      </c>
      <c r="C631" t="s">
        <v>1076</v>
      </c>
      <c r="D631" t="s">
        <v>23</v>
      </c>
      <c r="E631" t="s">
        <v>15</v>
      </c>
      <c r="F631" t="s">
        <v>109</v>
      </c>
      <c r="G631">
        <v>8.17</v>
      </c>
      <c r="H631">
        <v>0.5</v>
      </c>
      <c r="I631">
        <v>1</v>
      </c>
      <c r="J631" t="str">
        <f>TEXT(SalesData[[#This Row],[Order Date]],"mmm")</f>
        <v>Jan</v>
      </c>
      <c r="K631">
        <f>YEAR(SalesData[[#This Row],[Order Date]])</f>
        <v>2025</v>
      </c>
      <c r="L631" s="3">
        <f>SalesData[[#This Row],[Profit]]/SalesData[[#This Row],[Sales]]</f>
        <v>6.1199510403916767E-2</v>
      </c>
    </row>
    <row r="632" spans="1:12">
      <c r="A632" t="s">
        <v>1077</v>
      </c>
      <c r="B632" s="2">
        <v>45787</v>
      </c>
      <c r="C632" t="s">
        <v>1078</v>
      </c>
      <c r="D632" t="s">
        <v>14</v>
      </c>
      <c r="E632" t="s">
        <v>24</v>
      </c>
      <c r="F632" t="s">
        <v>97</v>
      </c>
      <c r="G632">
        <v>264.67</v>
      </c>
      <c r="H632">
        <v>58.43</v>
      </c>
      <c r="I632">
        <v>1</v>
      </c>
      <c r="J632" t="str">
        <f>TEXT(SalesData[[#This Row],[Order Date]],"mmm")</f>
        <v>May</v>
      </c>
      <c r="K632">
        <f>YEAR(SalesData[[#This Row],[Order Date]])</f>
        <v>2025</v>
      </c>
      <c r="L632" s="3">
        <f>SalesData[[#This Row],[Profit]]/SalesData[[#This Row],[Sales]]</f>
        <v>0.22076548154305359</v>
      </c>
    </row>
    <row r="633" spans="1:12">
      <c r="A633" t="s">
        <v>1079</v>
      </c>
      <c r="B633" s="2">
        <v>45735</v>
      </c>
      <c r="C633" t="s">
        <v>1080</v>
      </c>
      <c r="D633" t="s">
        <v>14</v>
      </c>
      <c r="E633" t="s">
        <v>41</v>
      </c>
      <c r="F633" t="s">
        <v>58</v>
      </c>
      <c r="G633">
        <v>468.84</v>
      </c>
      <c r="H633">
        <v>68.08</v>
      </c>
      <c r="I633">
        <v>6</v>
      </c>
      <c r="J633" t="str">
        <f>TEXT(SalesData[[#This Row],[Order Date]],"mmm")</f>
        <v>Mar</v>
      </c>
      <c r="K633">
        <f>YEAR(SalesData[[#This Row],[Order Date]])</f>
        <v>2025</v>
      </c>
      <c r="L633" s="3">
        <f>SalesData[[#This Row],[Profit]]/SalesData[[#This Row],[Sales]]</f>
        <v>0.14520945311833461</v>
      </c>
    </row>
    <row r="634" spans="1:12">
      <c r="A634" t="s">
        <v>1081</v>
      </c>
      <c r="B634" s="2">
        <v>45674</v>
      </c>
      <c r="C634" t="s">
        <v>1016</v>
      </c>
      <c r="D634" t="s">
        <v>19</v>
      </c>
      <c r="E634" t="s">
        <v>33</v>
      </c>
      <c r="F634" t="s">
        <v>170</v>
      </c>
      <c r="G634">
        <v>2749.48</v>
      </c>
      <c r="H634">
        <v>412.98</v>
      </c>
      <c r="I634">
        <v>4</v>
      </c>
      <c r="J634" t="str">
        <f>TEXT(SalesData[[#This Row],[Order Date]],"mmm")</f>
        <v>Jan</v>
      </c>
      <c r="K634">
        <f>YEAR(SalesData[[#This Row],[Order Date]])</f>
        <v>2025</v>
      </c>
      <c r="L634" s="3">
        <f>SalesData[[#This Row],[Profit]]/SalesData[[#This Row],[Sales]]</f>
        <v>0.15020294746643001</v>
      </c>
    </row>
    <row r="635" spans="1:12">
      <c r="A635" t="s">
        <v>1082</v>
      </c>
      <c r="B635" s="2">
        <v>45996</v>
      </c>
      <c r="C635" t="s">
        <v>712</v>
      </c>
      <c r="D635" t="s">
        <v>19</v>
      </c>
      <c r="E635" t="s">
        <v>33</v>
      </c>
      <c r="F635" t="s">
        <v>308</v>
      </c>
      <c r="G635">
        <v>785.83</v>
      </c>
      <c r="H635">
        <v>78.36</v>
      </c>
      <c r="I635">
        <v>1</v>
      </c>
      <c r="J635" t="str">
        <f>TEXT(SalesData[[#This Row],[Order Date]],"mmm")</f>
        <v>Dec</v>
      </c>
      <c r="K635">
        <f>YEAR(SalesData[[#This Row],[Order Date]])</f>
        <v>2025</v>
      </c>
      <c r="L635" s="3">
        <f>SalesData[[#This Row],[Profit]]/SalesData[[#This Row],[Sales]]</f>
        <v>9.9716223610704605E-2</v>
      </c>
    </row>
    <row r="636" spans="1:12">
      <c r="A636" t="s">
        <v>1083</v>
      </c>
      <c r="B636" s="2">
        <v>45862</v>
      </c>
      <c r="C636" t="s">
        <v>1084</v>
      </c>
      <c r="D636" t="s">
        <v>28</v>
      </c>
      <c r="E636" t="s">
        <v>41</v>
      </c>
      <c r="F636" t="s">
        <v>68</v>
      </c>
      <c r="G636">
        <v>220.92</v>
      </c>
      <c r="H636">
        <v>61.06</v>
      </c>
      <c r="I636">
        <v>2</v>
      </c>
      <c r="J636" t="str">
        <f>TEXT(SalesData[[#This Row],[Order Date]],"mmm")</f>
        <v>Jul</v>
      </c>
      <c r="K636">
        <f>YEAR(SalesData[[#This Row],[Order Date]])</f>
        <v>2025</v>
      </c>
      <c r="L636" s="3">
        <f>SalesData[[#This Row],[Profit]]/SalesData[[#This Row],[Sales]]</f>
        <v>0.27638964330979543</v>
      </c>
    </row>
    <row r="637" spans="1:12">
      <c r="A637" t="s">
        <v>1085</v>
      </c>
      <c r="B637" s="2">
        <v>45732</v>
      </c>
      <c r="C637" t="s">
        <v>360</v>
      </c>
      <c r="D637" t="s">
        <v>32</v>
      </c>
      <c r="E637" t="s">
        <v>24</v>
      </c>
      <c r="F637" t="s">
        <v>88</v>
      </c>
      <c r="G637">
        <v>975.6</v>
      </c>
      <c r="H637">
        <v>285.22000000000003</v>
      </c>
      <c r="I637">
        <v>4</v>
      </c>
      <c r="J637" t="str">
        <f>TEXT(SalesData[[#This Row],[Order Date]],"mmm")</f>
        <v>Mar</v>
      </c>
      <c r="K637">
        <f>YEAR(SalesData[[#This Row],[Order Date]])</f>
        <v>2025</v>
      </c>
      <c r="L637" s="3">
        <f>SalesData[[#This Row],[Profit]]/SalesData[[#This Row],[Sales]]</f>
        <v>0.29235342353423538</v>
      </c>
    </row>
    <row r="638" spans="1:12">
      <c r="A638" t="s">
        <v>1086</v>
      </c>
      <c r="B638" s="2">
        <v>45679</v>
      </c>
      <c r="C638" t="s">
        <v>641</v>
      </c>
      <c r="D638" t="s">
        <v>14</v>
      </c>
      <c r="E638" t="s">
        <v>37</v>
      </c>
      <c r="F638" t="s">
        <v>155</v>
      </c>
      <c r="G638">
        <v>277.45</v>
      </c>
      <c r="H638">
        <v>63.47</v>
      </c>
      <c r="I638">
        <v>5</v>
      </c>
      <c r="J638" t="str">
        <f>TEXT(SalesData[[#This Row],[Order Date]],"mmm")</f>
        <v>Jan</v>
      </c>
      <c r="K638">
        <f>YEAR(SalesData[[#This Row],[Order Date]])</f>
        <v>2025</v>
      </c>
      <c r="L638" s="3">
        <f>SalesData[[#This Row],[Profit]]/SalesData[[#This Row],[Sales]]</f>
        <v>0.22876193908812398</v>
      </c>
    </row>
    <row r="639" spans="1:12">
      <c r="A639" t="s">
        <v>1087</v>
      </c>
      <c r="B639" s="2">
        <v>45794</v>
      </c>
      <c r="C639" t="s">
        <v>1088</v>
      </c>
      <c r="D639" t="s">
        <v>14</v>
      </c>
      <c r="E639" t="s">
        <v>41</v>
      </c>
      <c r="F639" t="s">
        <v>71</v>
      </c>
      <c r="G639">
        <v>795.84</v>
      </c>
      <c r="H639">
        <v>228.62</v>
      </c>
      <c r="I639">
        <v>4</v>
      </c>
      <c r="J639" t="str">
        <f>TEXT(SalesData[[#This Row],[Order Date]],"mmm")</f>
        <v>May</v>
      </c>
      <c r="K639">
        <f>YEAR(SalesData[[#This Row],[Order Date]])</f>
        <v>2025</v>
      </c>
      <c r="L639" s="3">
        <f>SalesData[[#This Row],[Profit]]/SalesData[[#This Row],[Sales]]</f>
        <v>0.28726879774829112</v>
      </c>
    </row>
    <row r="640" spans="1:12">
      <c r="A640" t="s">
        <v>1089</v>
      </c>
      <c r="B640" s="2">
        <v>45959</v>
      </c>
      <c r="C640" t="s">
        <v>201</v>
      </c>
      <c r="D640" t="s">
        <v>23</v>
      </c>
      <c r="E640" t="s">
        <v>24</v>
      </c>
      <c r="F640" t="s">
        <v>134</v>
      </c>
      <c r="G640">
        <v>602.13</v>
      </c>
      <c r="H640">
        <v>141.24</v>
      </c>
      <c r="I640">
        <v>3</v>
      </c>
      <c r="J640" t="str">
        <f>TEXT(SalesData[[#This Row],[Order Date]],"mmm")</f>
        <v>Oct</v>
      </c>
      <c r="K640">
        <f>YEAR(SalesData[[#This Row],[Order Date]])</f>
        <v>2025</v>
      </c>
      <c r="L640" s="3">
        <f>SalesData[[#This Row],[Profit]]/SalesData[[#This Row],[Sales]]</f>
        <v>0.23456728613422353</v>
      </c>
    </row>
    <row r="641" spans="1:12">
      <c r="A641" t="s">
        <v>1090</v>
      </c>
      <c r="B641" s="2">
        <v>45664</v>
      </c>
      <c r="C641" t="s">
        <v>1091</v>
      </c>
      <c r="D641" t="s">
        <v>23</v>
      </c>
      <c r="E641" t="s">
        <v>15</v>
      </c>
      <c r="F641" t="s">
        <v>109</v>
      </c>
      <c r="G641">
        <v>31.47</v>
      </c>
      <c r="H641">
        <v>2.91</v>
      </c>
      <c r="I641">
        <v>3</v>
      </c>
      <c r="J641" t="str">
        <f>TEXT(SalesData[[#This Row],[Order Date]],"mmm")</f>
        <v>Jan</v>
      </c>
      <c r="K641">
        <f>YEAR(SalesData[[#This Row],[Order Date]])</f>
        <v>2025</v>
      </c>
      <c r="L641" s="3">
        <f>SalesData[[#This Row],[Profit]]/SalesData[[#This Row],[Sales]]</f>
        <v>9.2469018112488088E-2</v>
      </c>
    </row>
    <row r="642" spans="1:12">
      <c r="A642" t="s">
        <v>1092</v>
      </c>
      <c r="B642" s="2">
        <v>45670</v>
      </c>
      <c r="C642" t="s">
        <v>94</v>
      </c>
      <c r="D642" t="s">
        <v>32</v>
      </c>
      <c r="E642" t="s">
        <v>37</v>
      </c>
      <c r="F642" t="s">
        <v>85</v>
      </c>
      <c r="G642">
        <v>200.45</v>
      </c>
      <c r="H642">
        <v>41.34</v>
      </c>
      <c r="I642">
        <v>5</v>
      </c>
      <c r="J642" t="str">
        <f>TEXT(SalesData[[#This Row],[Order Date]],"mmm")</f>
        <v>Jan</v>
      </c>
      <c r="K642">
        <f>YEAR(SalesData[[#This Row],[Order Date]])</f>
        <v>2025</v>
      </c>
      <c r="L642" s="3">
        <f>SalesData[[#This Row],[Profit]]/SalesData[[#This Row],[Sales]]</f>
        <v>0.20623596906959343</v>
      </c>
    </row>
    <row r="643" spans="1:12">
      <c r="A643" t="s">
        <v>1093</v>
      </c>
      <c r="B643" s="2">
        <v>45967</v>
      </c>
      <c r="C643" t="s">
        <v>596</v>
      </c>
      <c r="D643" t="s">
        <v>23</v>
      </c>
      <c r="E643" t="s">
        <v>41</v>
      </c>
      <c r="F643" t="s">
        <v>158</v>
      </c>
      <c r="G643">
        <v>213.47</v>
      </c>
      <c r="H643">
        <v>46.27</v>
      </c>
      <c r="I643">
        <v>1</v>
      </c>
      <c r="J643" t="str">
        <f>TEXT(SalesData[[#This Row],[Order Date]],"mmm")</f>
        <v>Nov</v>
      </c>
      <c r="K643">
        <f>YEAR(SalesData[[#This Row],[Order Date]])</f>
        <v>2025</v>
      </c>
      <c r="L643" s="3">
        <f>SalesData[[#This Row],[Profit]]/SalesData[[#This Row],[Sales]]</f>
        <v>0.21675176839836982</v>
      </c>
    </row>
    <row r="644" spans="1:12">
      <c r="A644" t="s">
        <v>1094</v>
      </c>
      <c r="B644" s="2">
        <v>45985</v>
      </c>
      <c r="C644" t="s">
        <v>146</v>
      </c>
      <c r="D644" t="s">
        <v>28</v>
      </c>
      <c r="E644" t="s">
        <v>41</v>
      </c>
      <c r="F644" t="s">
        <v>58</v>
      </c>
      <c r="G644">
        <v>206.84</v>
      </c>
      <c r="H644">
        <v>60.87</v>
      </c>
      <c r="I644">
        <v>3</v>
      </c>
      <c r="J644" t="str">
        <f>TEXT(SalesData[[#This Row],[Order Date]],"mmm")</f>
        <v>Nov</v>
      </c>
      <c r="K644">
        <f>YEAR(SalesData[[#This Row],[Order Date]])</f>
        <v>2025</v>
      </c>
      <c r="L644" s="3">
        <f>SalesData[[#This Row],[Profit]]/SalesData[[#This Row],[Sales]]</f>
        <v>0.2942854380197254</v>
      </c>
    </row>
    <row r="645" spans="1:12">
      <c r="A645" t="s">
        <v>1095</v>
      </c>
      <c r="B645" s="2">
        <v>45828</v>
      </c>
      <c r="C645" t="s">
        <v>919</v>
      </c>
      <c r="D645" t="s">
        <v>14</v>
      </c>
      <c r="E645" t="s">
        <v>15</v>
      </c>
      <c r="F645" t="s">
        <v>82</v>
      </c>
      <c r="G645">
        <v>117.96</v>
      </c>
      <c r="H645">
        <v>9.4499999999999993</v>
      </c>
      <c r="I645">
        <v>4</v>
      </c>
      <c r="J645" t="str">
        <f>TEXT(SalesData[[#This Row],[Order Date]],"mmm")</f>
        <v>Jun</v>
      </c>
      <c r="K645">
        <f>YEAR(SalesData[[#This Row],[Order Date]])</f>
        <v>2025</v>
      </c>
      <c r="L645" s="3">
        <f>SalesData[[#This Row],[Profit]]/SalesData[[#This Row],[Sales]]</f>
        <v>8.0111902339776192E-2</v>
      </c>
    </row>
    <row r="646" spans="1:12">
      <c r="A646" t="s">
        <v>1096</v>
      </c>
      <c r="B646" s="2">
        <v>45988</v>
      </c>
      <c r="C646" t="s">
        <v>221</v>
      </c>
      <c r="D646" t="s">
        <v>19</v>
      </c>
      <c r="E646" t="s">
        <v>33</v>
      </c>
      <c r="F646" t="s">
        <v>63</v>
      </c>
      <c r="G646">
        <v>1285.83</v>
      </c>
      <c r="H646">
        <v>199.39</v>
      </c>
      <c r="I646">
        <v>2</v>
      </c>
      <c r="J646" t="str">
        <f>TEXT(SalesData[[#This Row],[Order Date]],"mmm")</f>
        <v>Nov</v>
      </c>
      <c r="K646">
        <f>YEAR(SalesData[[#This Row],[Order Date]])</f>
        <v>2025</v>
      </c>
      <c r="L646" s="3">
        <f>SalesData[[#This Row],[Profit]]/SalesData[[#This Row],[Sales]]</f>
        <v>0.15506715506715507</v>
      </c>
    </row>
    <row r="647" spans="1:12">
      <c r="A647" t="s">
        <v>1097</v>
      </c>
      <c r="B647" s="2">
        <v>45675</v>
      </c>
      <c r="C647" t="s">
        <v>285</v>
      </c>
      <c r="D647" t="s">
        <v>23</v>
      </c>
      <c r="E647" t="s">
        <v>41</v>
      </c>
      <c r="F647" t="s">
        <v>71</v>
      </c>
      <c r="G647">
        <v>226.72</v>
      </c>
      <c r="H647">
        <v>31.11</v>
      </c>
      <c r="I647">
        <v>1</v>
      </c>
      <c r="J647" t="str">
        <f>TEXT(SalesData[[#This Row],[Order Date]],"mmm")</f>
        <v>Jan</v>
      </c>
      <c r="K647">
        <f>YEAR(SalesData[[#This Row],[Order Date]])</f>
        <v>2025</v>
      </c>
      <c r="L647" s="3">
        <f>SalesData[[#This Row],[Profit]]/SalesData[[#This Row],[Sales]]</f>
        <v>0.13721771347918138</v>
      </c>
    </row>
    <row r="648" spans="1:12">
      <c r="A648" t="s">
        <v>1098</v>
      </c>
      <c r="B648" s="2">
        <v>45677</v>
      </c>
      <c r="C648" t="s">
        <v>157</v>
      </c>
      <c r="D648" t="s">
        <v>14</v>
      </c>
      <c r="E648" t="s">
        <v>15</v>
      </c>
      <c r="F648" t="s">
        <v>29</v>
      </c>
      <c r="G648">
        <v>77.48</v>
      </c>
      <c r="H648">
        <v>9.86</v>
      </c>
      <c r="I648">
        <v>4</v>
      </c>
      <c r="J648" t="str">
        <f>TEXT(SalesData[[#This Row],[Order Date]],"mmm")</f>
        <v>Jan</v>
      </c>
      <c r="K648">
        <f>YEAR(SalesData[[#This Row],[Order Date]])</f>
        <v>2025</v>
      </c>
      <c r="L648" s="3">
        <f>SalesData[[#This Row],[Profit]]/SalesData[[#This Row],[Sales]]</f>
        <v>0.12725864739287557</v>
      </c>
    </row>
    <row r="649" spans="1:12">
      <c r="A649" t="s">
        <v>1099</v>
      </c>
      <c r="B649" s="2">
        <v>45909</v>
      </c>
      <c r="C649" t="s">
        <v>1100</v>
      </c>
      <c r="D649" t="s">
        <v>28</v>
      </c>
      <c r="E649" t="s">
        <v>41</v>
      </c>
      <c r="F649" t="s">
        <v>42</v>
      </c>
      <c r="G649">
        <v>379.1</v>
      </c>
      <c r="H649">
        <v>74.34</v>
      </c>
      <c r="I649">
        <v>5</v>
      </c>
      <c r="J649" t="str">
        <f>TEXT(SalesData[[#This Row],[Order Date]],"mmm")</f>
        <v>Sep</v>
      </c>
      <c r="K649">
        <f>YEAR(SalesData[[#This Row],[Order Date]])</f>
        <v>2025</v>
      </c>
      <c r="L649" s="3">
        <f>SalesData[[#This Row],[Profit]]/SalesData[[#This Row],[Sales]]</f>
        <v>0.19609601688208916</v>
      </c>
    </row>
    <row r="650" spans="1:12">
      <c r="A650" t="s">
        <v>1101</v>
      </c>
      <c r="B650" s="2">
        <v>45904</v>
      </c>
      <c r="C650" t="s">
        <v>1102</v>
      </c>
      <c r="D650" t="s">
        <v>23</v>
      </c>
      <c r="E650" t="s">
        <v>37</v>
      </c>
      <c r="F650" t="s">
        <v>47</v>
      </c>
      <c r="G650">
        <v>127.5</v>
      </c>
      <c r="H650">
        <v>20.41</v>
      </c>
      <c r="I650">
        <v>3</v>
      </c>
      <c r="J650" t="str">
        <f>TEXT(SalesData[[#This Row],[Order Date]],"mmm")</f>
        <v>Sep</v>
      </c>
      <c r="K650">
        <f>YEAR(SalesData[[#This Row],[Order Date]])</f>
        <v>2025</v>
      </c>
      <c r="L650" s="3">
        <f>SalesData[[#This Row],[Profit]]/SalesData[[#This Row],[Sales]]</f>
        <v>0.16007843137254901</v>
      </c>
    </row>
    <row r="651" spans="1:12">
      <c r="A651" t="s">
        <v>1103</v>
      </c>
      <c r="B651" s="2">
        <v>45989</v>
      </c>
      <c r="C651" t="s">
        <v>509</v>
      </c>
      <c r="D651" t="s">
        <v>23</v>
      </c>
      <c r="E651" t="s">
        <v>37</v>
      </c>
      <c r="F651" t="s">
        <v>47</v>
      </c>
      <c r="G651">
        <v>68.08</v>
      </c>
      <c r="H651">
        <v>9.77</v>
      </c>
      <c r="I651">
        <v>1</v>
      </c>
      <c r="J651" t="str">
        <f>TEXT(SalesData[[#This Row],[Order Date]],"mmm")</f>
        <v>Nov</v>
      </c>
      <c r="K651">
        <f>YEAR(SalesData[[#This Row],[Order Date]])</f>
        <v>2025</v>
      </c>
      <c r="L651" s="3">
        <f>SalesData[[#This Row],[Profit]]/SalesData[[#This Row],[Sales]]</f>
        <v>0.14350763807285546</v>
      </c>
    </row>
    <row r="652" spans="1:12">
      <c r="A652" t="s">
        <v>1104</v>
      </c>
      <c r="B652" s="2">
        <v>45941</v>
      </c>
      <c r="C652" t="s">
        <v>590</v>
      </c>
      <c r="D652" t="s">
        <v>19</v>
      </c>
      <c r="E652" t="s">
        <v>24</v>
      </c>
      <c r="F652" t="s">
        <v>88</v>
      </c>
      <c r="G652">
        <v>228.1</v>
      </c>
      <c r="H652">
        <v>39.200000000000003</v>
      </c>
      <c r="I652">
        <v>1</v>
      </c>
      <c r="J652" t="str">
        <f>TEXT(SalesData[[#This Row],[Order Date]],"mmm")</f>
        <v>Oct</v>
      </c>
      <c r="K652">
        <f>YEAR(SalesData[[#This Row],[Order Date]])</f>
        <v>2025</v>
      </c>
      <c r="L652" s="3">
        <f>SalesData[[#This Row],[Profit]]/SalesData[[#This Row],[Sales]]</f>
        <v>0.17185444980271813</v>
      </c>
    </row>
    <row r="653" spans="1:12">
      <c r="A653" t="s">
        <v>1105</v>
      </c>
      <c r="B653" s="2">
        <v>45981</v>
      </c>
      <c r="C653" t="s">
        <v>1106</v>
      </c>
      <c r="D653" t="s">
        <v>19</v>
      </c>
      <c r="E653" t="s">
        <v>15</v>
      </c>
      <c r="F653" t="s">
        <v>82</v>
      </c>
      <c r="G653">
        <v>210.25</v>
      </c>
      <c r="H653">
        <v>22.77</v>
      </c>
      <c r="I653">
        <v>6</v>
      </c>
      <c r="J653" t="str">
        <f>TEXT(SalesData[[#This Row],[Order Date]],"mmm")</f>
        <v>Nov</v>
      </c>
      <c r="K653">
        <f>YEAR(SalesData[[#This Row],[Order Date]])</f>
        <v>2025</v>
      </c>
      <c r="L653" s="3">
        <f>SalesData[[#This Row],[Profit]]/SalesData[[#This Row],[Sales]]</f>
        <v>0.10829964328180737</v>
      </c>
    </row>
    <row r="654" spans="1:12">
      <c r="A654" t="s">
        <v>1107</v>
      </c>
      <c r="B654" s="2">
        <v>45987</v>
      </c>
      <c r="C654" t="s">
        <v>266</v>
      </c>
      <c r="D654" t="s">
        <v>23</v>
      </c>
      <c r="E654" t="s">
        <v>37</v>
      </c>
      <c r="F654" t="s">
        <v>155</v>
      </c>
      <c r="G654">
        <v>7.86</v>
      </c>
      <c r="H654">
        <v>1.71</v>
      </c>
      <c r="I654">
        <v>1</v>
      </c>
      <c r="J654" t="str">
        <f>TEXT(SalesData[[#This Row],[Order Date]],"mmm")</f>
        <v>Nov</v>
      </c>
      <c r="K654">
        <f>YEAR(SalesData[[#This Row],[Order Date]])</f>
        <v>2025</v>
      </c>
      <c r="L654" s="3">
        <f>SalesData[[#This Row],[Profit]]/SalesData[[#This Row],[Sales]]</f>
        <v>0.21755725190839692</v>
      </c>
    </row>
    <row r="655" spans="1:12">
      <c r="A655" t="s">
        <v>1108</v>
      </c>
      <c r="B655" s="2">
        <v>45718</v>
      </c>
      <c r="C655" t="s">
        <v>945</v>
      </c>
      <c r="D655" t="s">
        <v>28</v>
      </c>
      <c r="E655" t="s">
        <v>37</v>
      </c>
      <c r="F655" t="s">
        <v>194</v>
      </c>
      <c r="G655">
        <v>91.52</v>
      </c>
      <c r="H655">
        <v>12.35</v>
      </c>
      <c r="I655">
        <v>2</v>
      </c>
      <c r="J655" t="str">
        <f>TEXT(SalesData[[#This Row],[Order Date]],"mmm")</f>
        <v>Mar</v>
      </c>
      <c r="K655">
        <f>YEAR(SalesData[[#This Row],[Order Date]])</f>
        <v>2025</v>
      </c>
      <c r="L655" s="3">
        <f>SalesData[[#This Row],[Profit]]/SalesData[[#This Row],[Sales]]</f>
        <v>0.13494318181818182</v>
      </c>
    </row>
    <row r="656" spans="1:12">
      <c r="A656" t="s">
        <v>1109</v>
      </c>
      <c r="B656" s="2">
        <v>45730</v>
      </c>
      <c r="C656" t="s">
        <v>666</v>
      </c>
      <c r="D656" t="s">
        <v>28</v>
      </c>
      <c r="E656" t="s">
        <v>37</v>
      </c>
      <c r="F656" t="s">
        <v>194</v>
      </c>
      <c r="G656">
        <v>18.350000000000001</v>
      </c>
      <c r="H656">
        <v>-1.81</v>
      </c>
      <c r="I656">
        <v>1</v>
      </c>
      <c r="J656" t="str">
        <f>TEXT(SalesData[[#This Row],[Order Date]],"mmm")</f>
        <v>Mar</v>
      </c>
      <c r="K656">
        <f>YEAR(SalesData[[#This Row],[Order Date]])</f>
        <v>2025</v>
      </c>
      <c r="L656" s="3">
        <f>SalesData[[#This Row],[Profit]]/SalesData[[#This Row],[Sales]]</f>
        <v>-9.8637602179836512E-2</v>
      </c>
    </row>
    <row r="657" spans="1:12">
      <c r="A657" t="s">
        <v>1110</v>
      </c>
      <c r="B657" s="2">
        <v>45981</v>
      </c>
      <c r="C657" t="s">
        <v>369</v>
      </c>
      <c r="D657" t="s">
        <v>32</v>
      </c>
      <c r="E657" t="s">
        <v>33</v>
      </c>
      <c r="F657" t="s">
        <v>170</v>
      </c>
      <c r="G657">
        <v>638.99</v>
      </c>
      <c r="H657">
        <v>63.52</v>
      </c>
      <c r="I657">
        <v>5</v>
      </c>
      <c r="J657" t="str">
        <f>TEXT(SalesData[[#This Row],[Order Date]],"mmm")</f>
        <v>Nov</v>
      </c>
      <c r="K657">
        <f>YEAR(SalesData[[#This Row],[Order Date]])</f>
        <v>2025</v>
      </c>
      <c r="L657" s="3">
        <f>SalesData[[#This Row],[Profit]]/SalesData[[#This Row],[Sales]]</f>
        <v>9.9406876476940173E-2</v>
      </c>
    </row>
    <row r="658" spans="1:12">
      <c r="A658" t="s">
        <v>1111</v>
      </c>
      <c r="B658" s="2">
        <v>45973</v>
      </c>
      <c r="C658" t="s">
        <v>1112</v>
      </c>
      <c r="D658" t="s">
        <v>19</v>
      </c>
      <c r="E658" t="s">
        <v>24</v>
      </c>
      <c r="F658" t="s">
        <v>88</v>
      </c>
      <c r="G658">
        <v>234.39</v>
      </c>
      <c r="H658">
        <v>49.03</v>
      </c>
      <c r="I658">
        <v>3</v>
      </c>
      <c r="J658" t="str">
        <f>TEXT(SalesData[[#This Row],[Order Date]],"mmm")</f>
        <v>Nov</v>
      </c>
      <c r="K658">
        <f>YEAR(SalesData[[#This Row],[Order Date]])</f>
        <v>2025</v>
      </c>
      <c r="L658" s="3">
        <f>SalesData[[#This Row],[Profit]]/SalesData[[#This Row],[Sales]]</f>
        <v>0.20918127906480655</v>
      </c>
    </row>
    <row r="659" spans="1:12">
      <c r="A659" t="s">
        <v>1113</v>
      </c>
      <c r="B659" s="2">
        <v>45767</v>
      </c>
      <c r="C659" t="s">
        <v>1114</v>
      </c>
      <c r="D659" t="s">
        <v>23</v>
      </c>
      <c r="E659" t="s">
        <v>15</v>
      </c>
      <c r="F659" t="s">
        <v>82</v>
      </c>
      <c r="G659">
        <v>11.85</v>
      </c>
      <c r="H659">
        <v>1.94</v>
      </c>
      <c r="I659">
        <v>1</v>
      </c>
      <c r="J659" t="str">
        <f>TEXT(SalesData[[#This Row],[Order Date]],"mmm")</f>
        <v>Apr</v>
      </c>
      <c r="K659">
        <f>YEAR(SalesData[[#This Row],[Order Date]])</f>
        <v>2025</v>
      </c>
      <c r="L659" s="3">
        <f>SalesData[[#This Row],[Profit]]/SalesData[[#This Row],[Sales]]</f>
        <v>0.16371308016877636</v>
      </c>
    </row>
    <row r="660" spans="1:12">
      <c r="A660" t="s">
        <v>1115</v>
      </c>
      <c r="B660" s="2">
        <v>45847</v>
      </c>
      <c r="C660" t="s">
        <v>563</v>
      </c>
      <c r="D660" t="s">
        <v>28</v>
      </c>
      <c r="E660" t="s">
        <v>15</v>
      </c>
      <c r="F660" t="s">
        <v>20</v>
      </c>
      <c r="G660">
        <v>8.33</v>
      </c>
      <c r="H660">
        <v>1.4</v>
      </c>
      <c r="I660">
        <v>1</v>
      </c>
      <c r="J660" t="str">
        <f>TEXT(SalesData[[#This Row],[Order Date]],"mmm")</f>
        <v>Jul</v>
      </c>
      <c r="K660">
        <f>YEAR(SalesData[[#This Row],[Order Date]])</f>
        <v>2025</v>
      </c>
      <c r="L660" s="3">
        <f>SalesData[[#This Row],[Profit]]/SalesData[[#This Row],[Sales]]</f>
        <v>0.16806722689075629</v>
      </c>
    </row>
    <row r="661" spans="1:12">
      <c r="A661" t="s">
        <v>1116</v>
      </c>
      <c r="B661" s="2">
        <v>45850</v>
      </c>
      <c r="C661" t="s">
        <v>774</v>
      </c>
      <c r="D661" t="s">
        <v>32</v>
      </c>
      <c r="E661" t="s">
        <v>37</v>
      </c>
      <c r="F661" t="s">
        <v>38</v>
      </c>
      <c r="G661">
        <v>5.4</v>
      </c>
      <c r="H661">
        <v>1.29</v>
      </c>
      <c r="I661">
        <v>1</v>
      </c>
      <c r="J661" t="str">
        <f>TEXT(SalesData[[#This Row],[Order Date]],"mmm")</f>
        <v>Jul</v>
      </c>
      <c r="K661">
        <f>YEAR(SalesData[[#This Row],[Order Date]])</f>
        <v>2025</v>
      </c>
      <c r="L661" s="3">
        <f>SalesData[[#This Row],[Profit]]/SalesData[[#This Row],[Sales]]</f>
        <v>0.23888888888888887</v>
      </c>
    </row>
    <row r="662" spans="1:12">
      <c r="A662" t="s">
        <v>1117</v>
      </c>
      <c r="B662" s="2">
        <v>45961</v>
      </c>
      <c r="C662" t="s">
        <v>603</v>
      </c>
      <c r="D662" t="s">
        <v>28</v>
      </c>
      <c r="E662" t="s">
        <v>41</v>
      </c>
      <c r="F662" t="s">
        <v>71</v>
      </c>
      <c r="G662">
        <v>321.3</v>
      </c>
      <c r="H662">
        <v>43.62</v>
      </c>
      <c r="I662">
        <v>6</v>
      </c>
      <c r="J662" t="str">
        <f>TEXT(SalesData[[#This Row],[Order Date]],"mmm")</f>
        <v>Oct</v>
      </c>
      <c r="K662">
        <f>YEAR(SalesData[[#This Row],[Order Date]])</f>
        <v>2025</v>
      </c>
      <c r="L662" s="3">
        <f>SalesData[[#This Row],[Profit]]/SalesData[[#This Row],[Sales]]</f>
        <v>0.13576097105508869</v>
      </c>
    </row>
    <row r="663" spans="1:12">
      <c r="A663" t="s">
        <v>1118</v>
      </c>
      <c r="B663" s="2">
        <v>45888</v>
      </c>
      <c r="C663" t="s">
        <v>987</v>
      </c>
      <c r="D663" t="s">
        <v>19</v>
      </c>
      <c r="E663" t="s">
        <v>41</v>
      </c>
      <c r="F663" t="s">
        <v>42</v>
      </c>
      <c r="G663">
        <v>327.5</v>
      </c>
      <c r="H663">
        <v>73.680000000000007</v>
      </c>
      <c r="I663">
        <v>5</v>
      </c>
      <c r="J663" t="str">
        <f>TEXT(SalesData[[#This Row],[Order Date]],"mmm")</f>
        <v>Aug</v>
      </c>
      <c r="K663">
        <f>YEAR(SalesData[[#This Row],[Order Date]])</f>
        <v>2025</v>
      </c>
      <c r="L663" s="3">
        <f>SalesData[[#This Row],[Profit]]/SalesData[[#This Row],[Sales]]</f>
        <v>0.22497709923664125</v>
      </c>
    </row>
    <row r="664" spans="1:12">
      <c r="A664" t="s">
        <v>1119</v>
      </c>
      <c r="B664" s="2">
        <v>45979</v>
      </c>
      <c r="C664" t="s">
        <v>1120</v>
      </c>
      <c r="D664" t="s">
        <v>14</v>
      </c>
      <c r="E664" t="s">
        <v>24</v>
      </c>
      <c r="F664" t="s">
        <v>55</v>
      </c>
      <c r="G664">
        <v>232.65</v>
      </c>
      <c r="H664">
        <v>68.72</v>
      </c>
      <c r="I664">
        <v>2</v>
      </c>
      <c r="J664" t="str">
        <f>TEXT(SalesData[[#This Row],[Order Date]],"mmm")</f>
        <v>Nov</v>
      </c>
      <c r="K664">
        <f>YEAR(SalesData[[#This Row],[Order Date]])</f>
        <v>2025</v>
      </c>
      <c r="L664" s="3">
        <f>SalesData[[#This Row],[Profit]]/SalesData[[#This Row],[Sales]]</f>
        <v>0.29537932516655918</v>
      </c>
    </row>
    <row r="665" spans="1:12">
      <c r="A665" t="s">
        <v>1121</v>
      </c>
      <c r="B665" s="2">
        <v>45934</v>
      </c>
      <c r="C665" t="s">
        <v>480</v>
      </c>
      <c r="D665" t="s">
        <v>28</v>
      </c>
      <c r="E665" t="s">
        <v>41</v>
      </c>
      <c r="F665" t="s">
        <v>158</v>
      </c>
      <c r="G665">
        <v>110.82</v>
      </c>
      <c r="H665">
        <v>14.2</v>
      </c>
      <c r="I665">
        <v>3</v>
      </c>
      <c r="J665" t="str">
        <f>TEXT(SalesData[[#This Row],[Order Date]],"mmm")</f>
        <v>Oct</v>
      </c>
      <c r="K665">
        <f>YEAR(SalesData[[#This Row],[Order Date]])</f>
        <v>2025</v>
      </c>
      <c r="L665" s="3">
        <f>SalesData[[#This Row],[Profit]]/SalesData[[#This Row],[Sales]]</f>
        <v>0.12813571557480599</v>
      </c>
    </row>
    <row r="666" spans="1:12">
      <c r="A666" t="s">
        <v>1122</v>
      </c>
      <c r="B666" s="2">
        <v>45900</v>
      </c>
      <c r="C666" t="s">
        <v>882</v>
      </c>
      <c r="D666" t="s">
        <v>19</v>
      </c>
      <c r="E666" t="s">
        <v>41</v>
      </c>
      <c r="F666" t="s">
        <v>42</v>
      </c>
      <c r="G666">
        <v>170.09</v>
      </c>
      <c r="H666">
        <v>29.13</v>
      </c>
      <c r="I666">
        <v>1</v>
      </c>
      <c r="J666" t="str">
        <f>TEXT(SalesData[[#This Row],[Order Date]],"mmm")</f>
        <v>Aug</v>
      </c>
      <c r="K666">
        <f>YEAR(SalesData[[#This Row],[Order Date]])</f>
        <v>2025</v>
      </c>
      <c r="L666" s="3">
        <f>SalesData[[#This Row],[Profit]]/SalesData[[#This Row],[Sales]]</f>
        <v>0.17126227291433946</v>
      </c>
    </row>
    <row r="667" spans="1:12">
      <c r="A667" t="s">
        <v>1123</v>
      </c>
      <c r="B667" s="2">
        <v>45829</v>
      </c>
      <c r="C667" t="s">
        <v>1124</v>
      </c>
      <c r="D667" t="s">
        <v>32</v>
      </c>
      <c r="E667" t="s">
        <v>15</v>
      </c>
      <c r="F667" t="s">
        <v>82</v>
      </c>
      <c r="G667">
        <v>47</v>
      </c>
      <c r="H667">
        <v>7.89</v>
      </c>
      <c r="I667">
        <v>5</v>
      </c>
      <c r="J667" t="str">
        <f>TEXT(SalesData[[#This Row],[Order Date]],"mmm")</f>
        <v>Jun</v>
      </c>
      <c r="K667">
        <f>YEAR(SalesData[[#This Row],[Order Date]])</f>
        <v>2025</v>
      </c>
      <c r="L667" s="3">
        <f>SalesData[[#This Row],[Profit]]/SalesData[[#This Row],[Sales]]</f>
        <v>0.1678723404255319</v>
      </c>
    </row>
    <row r="668" spans="1:12">
      <c r="A668" t="s">
        <v>1125</v>
      </c>
      <c r="B668" s="2">
        <v>45717</v>
      </c>
      <c r="C668" t="s">
        <v>197</v>
      </c>
      <c r="D668" t="s">
        <v>28</v>
      </c>
      <c r="E668" t="s">
        <v>33</v>
      </c>
      <c r="F668" t="s">
        <v>308</v>
      </c>
      <c r="G668">
        <v>843.72</v>
      </c>
      <c r="H668">
        <v>164.58</v>
      </c>
      <c r="I668">
        <v>4</v>
      </c>
      <c r="J668" t="str">
        <f>TEXT(SalesData[[#This Row],[Order Date]],"mmm")</f>
        <v>Mar</v>
      </c>
      <c r="K668">
        <f>YEAR(SalesData[[#This Row],[Order Date]])</f>
        <v>2025</v>
      </c>
      <c r="L668" s="3">
        <f>SalesData[[#This Row],[Profit]]/SalesData[[#This Row],[Sales]]</f>
        <v>0.19506471341203244</v>
      </c>
    </row>
    <row r="669" spans="1:12">
      <c r="A669" t="s">
        <v>1126</v>
      </c>
      <c r="B669" s="2">
        <v>45714</v>
      </c>
      <c r="C669" t="s">
        <v>1127</v>
      </c>
      <c r="D669" t="s">
        <v>32</v>
      </c>
      <c r="E669" t="s">
        <v>15</v>
      </c>
      <c r="F669" t="s">
        <v>109</v>
      </c>
      <c r="G669">
        <v>28.78</v>
      </c>
      <c r="H669">
        <v>2.39</v>
      </c>
      <c r="I669">
        <v>2</v>
      </c>
      <c r="J669" t="str">
        <f>TEXT(SalesData[[#This Row],[Order Date]],"mmm")</f>
        <v>Feb</v>
      </c>
      <c r="K669">
        <f>YEAR(SalesData[[#This Row],[Order Date]])</f>
        <v>2025</v>
      </c>
      <c r="L669" s="3">
        <f>SalesData[[#This Row],[Profit]]/SalesData[[#This Row],[Sales]]</f>
        <v>8.3043780403057682E-2</v>
      </c>
    </row>
    <row r="670" spans="1:12">
      <c r="A670" t="s">
        <v>1128</v>
      </c>
      <c r="B670" s="2">
        <v>45906</v>
      </c>
      <c r="C670" t="s">
        <v>474</v>
      </c>
      <c r="D670" t="s">
        <v>19</v>
      </c>
      <c r="E670" t="s">
        <v>15</v>
      </c>
      <c r="F670" t="s">
        <v>20</v>
      </c>
      <c r="G670">
        <v>37.799999999999997</v>
      </c>
      <c r="H670">
        <v>4.01</v>
      </c>
      <c r="I670">
        <v>4</v>
      </c>
      <c r="J670" t="str">
        <f>TEXT(SalesData[[#This Row],[Order Date]],"mmm")</f>
        <v>Sep</v>
      </c>
      <c r="K670">
        <f>YEAR(SalesData[[#This Row],[Order Date]])</f>
        <v>2025</v>
      </c>
      <c r="L670" s="3">
        <f>SalesData[[#This Row],[Profit]]/SalesData[[#This Row],[Sales]]</f>
        <v>0.10608465608465609</v>
      </c>
    </row>
    <row r="671" spans="1:12">
      <c r="A671" t="s">
        <v>1129</v>
      </c>
      <c r="B671" s="2">
        <v>45757</v>
      </c>
      <c r="C671" t="s">
        <v>1130</v>
      </c>
      <c r="D671" t="s">
        <v>14</v>
      </c>
      <c r="E671" t="s">
        <v>15</v>
      </c>
      <c r="F671" t="s">
        <v>16</v>
      </c>
      <c r="G671">
        <v>22.31</v>
      </c>
      <c r="H671">
        <v>1.32</v>
      </c>
      <c r="I671">
        <v>1</v>
      </c>
      <c r="J671" t="str">
        <f>TEXT(SalesData[[#This Row],[Order Date]],"mmm")</f>
        <v>Apr</v>
      </c>
      <c r="K671">
        <f>YEAR(SalesData[[#This Row],[Order Date]])</f>
        <v>2025</v>
      </c>
      <c r="L671" s="3">
        <f>SalesData[[#This Row],[Profit]]/SalesData[[#This Row],[Sales]]</f>
        <v>5.9166293142088752E-2</v>
      </c>
    </row>
    <row r="672" spans="1:12">
      <c r="A672" t="s">
        <v>1131</v>
      </c>
      <c r="B672" s="2">
        <v>45896</v>
      </c>
      <c r="C672" t="s">
        <v>305</v>
      </c>
      <c r="D672" t="s">
        <v>19</v>
      </c>
      <c r="E672" t="s">
        <v>41</v>
      </c>
      <c r="F672" t="s">
        <v>158</v>
      </c>
      <c r="G672">
        <v>482.46</v>
      </c>
      <c r="H672">
        <v>143.47999999999999</v>
      </c>
      <c r="I672">
        <v>3</v>
      </c>
      <c r="J672" t="str">
        <f>TEXT(SalesData[[#This Row],[Order Date]],"mmm")</f>
        <v>Aug</v>
      </c>
      <c r="K672">
        <f>YEAR(SalesData[[#This Row],[Order Date]])</f>
        <v>2025</v>
      </c>
      <c r="L672" s="3">
        <f>SalesData[[#This Row],[Profit]]/SalesData[[#This Row],[Sales]]</f>
        <v>0.2973925299506695</v>
      </c>
    </row>
    <row r="673" spans="1:12">
      <c r="A673" t="s">
        <v>1132</v>
      </c>
      <c r="B673" s="2">
        <v>45971</v>
      </c>
      <c r="C673" t="s">
        <v>1133</v>
      </c>
      <c r="D673" t="s">
        <v>23</v>
      </c>
      <c r="E673" t="s">
        <v>37</v>
      </c>
      <c r="F673" t="s">
        <v>85</v>
      </c>
      <c r="G673">
        <v>34.729999999999997</v>
      </c>
      <c r="H673">
        <v>7.96</v>
      </c>
      <c r="I673">
        <v>1</v>
      </c>
      <c r="J673" t="str">
        <f>TEXT(SalesData[[#This Row],[Order Date]],"mmm")</f>
        <v>Nov</v>
      </c>
      <c r="K673">
        <f>YEAR(SalesData[[#This Row],[Order Date]])</f>
        <v>2025</v>
      </c>
      <c r="L673" s="3">
        <f>SalesData[[#This Row],[Profit]]/SalesData[[#This Row],[Sales]]</f>
        <v>0.22919665994817162</v>
      </c>
    </row>
    <row r="674" spans="1:12">
      <c r="A674" t="s">
        <v>1134</v>
      </c>
      <c r="B674" s="2">
        <v>45900</v>
      </c>
      <c r="C674" t="s">
        <v>567</v>
      </c>
      <c r="D674" t="s">
        <v>14</v>
      </c>
      <c r="E674" t="s">
        <v>15</v>
      </c>
      <c r="F674" t="s">
        <v>109</v>
      </c>
      <c r="G674">
        <v>160.86000000000001</v>
      </c>
      <c r="H674">
        <v>14.02</v>
      </c>
      <c r="I674">
        <v>6</v>
      </c>
      <c r="J674" t="str">
        <f>TEXT(SalesData[[#This Row],[Order Date]],"mmm")</f>
        <v>Aug</v>
      </c>
      <c r="K674">
        <f>YEAR(SalesData[[#This Row],[Order Date]])</f>
        <v>2025</v>
      </c>
      <c r="L674" s="3">
        <f>SalesData[[#This Row],[Profit]]/SalesData[[#This Row],[Sales]]</f>
        <v>8.7156533631729441E-2</v>
      </c>
    </row>
    <row r="675" spans="1:12">
      <c r="A675" t="s">
        <v>1135</v>
      </c>
      <c r="B675" s="2">
        <v>45771</v>
      </c>
      <c r="C675" t="s">
        <v>514</v>
      </c>
      <c r="D675" t="s">
        <v>19</v>
      </c>
      <c r="E675" t="s">
        <v>37</v>
      </c>
      <c r="F675" t="s">
        <v>38</v>
      </c>
      <c r="G675">
        <v>235.64</v>
      </c>
      <c r="H675">
        <v>24.98</v>
      </c>
      <c r="I675">
        <v>4</v>
      </c>
      <c r="J675" t="str">
        <f>TEXT(SalesData[[#This Row],[Order Date]],"mmm")</f>
        <v>Apr</v>
      </c>
      <c r="K675">
        <f>YEAR(SalesData[[#This Row],[Order Date]])</f>
        <v>2025</v>
      </c>
      <c r="L675" s="3">
        <f>SalesData[[#This Row],[Profit]]/SalesData[[#This Row],[Sales]]</f>
        <v>0.10600916652520795</v>
      </c>
    </row>
    <row r="676" spans="1:12">
      <c r="A676" t="s">
        <v>1136</v>
      </c>
      <c r="B676" s="2">
        <v>45916</v>
      </c>
      <c r="C676" t="s">
        <v>474</v>
      </c>
      <c r="D676" t="s">
        <v>23</v>
      </c>
      <c r="E676" t="s">
        <v>24</v>
      </c>
      <c r="F676" t="s">
        <v>25</v>
      </c>
      <c r="G676">
        <v>733.76</v>
      </c>
      <c r="H676">
        <v>85.57</v>
      </c>
      <c r="I676">
        <v>4</v>
      </c>
      <c r="J676" t="str">
        <f>TEXT(SalesData[[#This Row],[Order Date]],"mmm")</f>
        <v>Sep</v>
      </c>
      <c r="K676">
        <f>YEAR(SalesData[[#This Row],[Order Date]])</f>
        <v>2025</v>
      </c>
      <c r="L676" s="3">
        <f>SalesData[[#This Row],[Profit]]/SalesData[[#This Row],[Sales]]</f>
        <v>0.11661851286524204</v>
      </c>
    </row>
    <row r="677" spans="1:12">
      <c r="A677" t="s">
        <v>1137</v>
      </c>
      <c r="B677" s="2">
        <v>46012</v>
      </c>
      <c r="C677" t="s">
        <v>1138</v>
      </c>
      <c r="D677" t="s">
        <v>19</v>
      </c>
      <c r="E677" t="s">
        <v>15</v>
      </c>
      <c r="F677" t="s">
        <v>29</v>
      </c>
      <c r="G677">
        <v>47.77</v>
      </c>
      <c r="H677">
        <v>5.83</v>
      </c>
      <c r="I677">
        <v>2</v>
      </c>
      <c r="J677" t="str">
        <f>TEXT(SalesData[[#This Row],[Order Date]],"mmm")</f>
        <v>Dec</v>
      </c>
      <c r="K677">
        <f>YEAR(SalesData[[#This Row],[Order Date]])</f>
        <v>2025</v>
      </c>
      <c r="L677" s="3">
        <f>SalesData[[#This Row],[Profit]]/SalesData[[#This Row],[Sales]]</f>
        <v>0.12204312329914171</v>
      </c>
    </row>
    <row r="678" spans="1:12">
      <c r="A678" t="s">
        <v>1139</v>
      </c>
      <c r="B678" s="2">
        <v>46018</v>
      </c>
      <c r="C678" t="s">
        <v>1140</v>
      </c>
      <c r="D678" t="s">
        <v>23</v>
      </c>
      <c r="E678" t="s">
        <v>15</v>
      </c>
      <c r="F678" t="s">
        <v>109</v>
      </c>
      <c r="G678">
        <v>132.41</v>
      </c>
      <c r="H678">
        <v>14.67</v>
      </c>
      <c r="I678">
        <v>4</v>
      </c>
      <c r="J678" t="str">
        <f>TEXT(SalesData[[#This Row],[Order Date]],"mmm")</f>
        <v>Dec</v>
      </c>
      <c r="K678">
        <f>YEAR(SalesData[[#This Row],[Order Date]])</f>
        <v>2025</v>
      </c>
      <c r="L678" s="3">
        <f>SalesData[[#This Row],[Profit]]/SalesData[[#This Row],[Sales]]</f>
        <v>0.11079223623593384</v>
      </c>
    </row>
    <row r="679" spans="1:12">
      <c r="A679" t="s">
        <v>1141</v>
      </c>
      <c r="B679" s="2">
        <v>45847</v>
      </c>
      <c r="C679" t="s">
        <v>1030</v>
      </c>
      <c r="D679" t="s">
        <v>32</v>
      </c>
      <c r="E679" t="s">
        <v>37</v>
      </c>
      <c r="F679" t="s">
        <v>38</v>
      </c>
      <c r="G679">
        <v>216.56</v>
      </c>
      <c r="H679">
        <v>32.47</v>
      </c>
      <c r="I679">
        <v>4</v>
      </c>
      <c r="J679" t="str">
        <f>TEXT(SalesData[[#This Row],[Order Date]],"mmm")</f>
        <v>Jul</v>
      </c>
      <c r="K679">
        <f>YEAR(SalesData[[#This Row],[Order Date]])</f>
        <v>2025</v>
      </c>
      <c r="L679" s="3">
        <f>SalesData[[#This Row],[Profit]]/SalesData[[#This Row],[Sales]]</f>
        <v>0.14993535278906539</v>
      </c>
    </row>
    <row r="680" spans="1:12">
      <c r="A680" t="s">
        <v>1142</v>
      </c>
      <c r="B680" s="2">
        <v>45876</v>
      </c>
      <c r="C680" t="s">
        <v>212</v>
      </c>
      <c r="D680" t="s">
        <v>23</v>
      </c>
      <c r="E680" t="s">
        <v>33</v>
      </c>
      <c r="F680" t="s">
        <v>170</v>
      </c>
      <c r="G680">
        <v>657.72</v>
      </c>
      <c r="H680">
        <v>151.11000000000001</v>
      </c>
      <c r="I680">
        <v>6</v>
      </c>
      <c r="J680" t="str">
        <f>TEXT(SalesData[[#This Row],[Order Date]],"mmm")</f>
        <v>Aug</v>
      </c>
      <c r="K680">
        <f>YEAR(SalesData[[#This Row],[Order Date]])</f>
        <v>2025</v>
      </c>
      <c r="L680" s="3">
        <f>SalesData[[#This Row],[Profit]]/SalesData[[#This Row],[Sales]]</f>
        <v>0.22974822112753149</v>
      </c>
    </row>
    <row r="681" spans="1:12">
      <c r="A681" t="s">
        <v>1143</v>
      </c>
      <c r="B681" s="2">
        <v>45686</v>
      </c>
      <c r="C681" t="s">
        <v>1144</v>
      </c>
      <c r="D681" t="s">
        <v>32</v>
      </c>
      <c r="E681" t="s">
        <v>15</v>
      </c>
      <c r="F681" t="s">
        <v>29</v>
      </c>
      <c r="G681">
        <v>81.92</v>
      </c>
      <c r="H681">
        <v>8.59</v>
      </c>
      <c r="I681">
        <v>4</v>
      </c>
      <c r="J681" t="str">
        <f>TEXT(SalesData[[#This Row],[Order Date]],"mmm")</f>
        <v>Jan</v>
      </c>
      <c r="K681">
        <f>YEAR(SalesData[[#This Row],[Order Date]])</f>
        <v>2025</v>
      </c>
      <c r="L681" s="3">
        <f>SalesData[[#This Row],[Profit]]/SalesData[[#This Row],[Sales]]</f>
        <v>0.1048583984375</v>
      </c>
    </row>
    <row r="682" spans="1:12">
      <c r="A682" t="s">
        <v>1145</v>
      </c>
      <c r="B682" s="2">
        <v>45944</v>
      </c>
      <c r="C682" t="s">
        <v>439</v>
      </c>
      <c r="D682" t="s">
        <v>23</v>
      </c>
      <c r="E682" t="s">
        <v>41</v>
      </c>
      <c r="F682" t="s">
        <v>158</v>
      </c>
      <c r="G682">
        <v>491.56</v>
      </c>
      <c r="H682">
        <v>78.48</v>
      </c>
      <c r="I682">
        <v>2</v>
      </c>
      <c r="J682" t="str">
        <f>TEXT(SalesData[[#This Row],[Order Date]],"mmm")</f>
        <v>Oct</v>
      </c>
      <c r="K682">
        <f>YEAR(SalesData[[#This Row],[Order Date]])</f>
        <v>2025</v>
      </c>
      <c r="L682" s="3">
        <f>SalesData[[#This Row],[Profit]]/SalesData[[#This Row],[Sales]]</f>
        <v>0.15965497599479209</v>
      </c>
    </row>
    <row r="683" spans="1:12">
      <c r="A683" t="s">
        <v>1146</v>
      </c>
      <c r="B683" s="2">
        <v>45902</v>
      </c>
      <c r="C683" t="s">
        <v>454</v>
      </c>
      <c r="D683" t="s">
        <v>19</v>
      </c>
      <c r="E683" t="s">
        <v>41</v>
      </c>
      <c r="F683" t="s">
        <v>158</v>
      </c>
      <c r="G683">
        <v>313.08</v>
      </c>
      <c r="H683">
        <v>52.23</v>
      </c>
      <c r="I683">
        <v>3</v>
      </c>
      <c r="J683" t="str">
        <f>TEXT(SalesData[[#This Row],[Order Date]],"mmm")</f>
        <v>Sep</v>
      </c>
      <c r="K683">
        <f>YEAR(SalesData[[#This Row],[Order Date]])</f>
        <v>2025</v>
      </c>
      <c r="L683" s="3">
        <f>SalesData[[#This Row],[Profit]]/SalesData[[#This Row],[Sales]]</f>
        <v>0.16682637025680336</v>
      </c>
    </row>
    <row r="684" spans="1:12">
      <c r="A684" t="s">
        <v>1147</v>
      </c>
      <c r="B684" s="2">
        <v>45799</v>
      </c>
      <c r="C684" t="s">
        <v>655</v>
      </c>
      <c r="D684" t="s">
        <v>14</v>
      </c>
      <c r="E684" t="s">
        <v>24</v>
      </c>
      <c r="F684" t="s">
        <v>88</v>
      </c>
      <c r="G684">
        <v>969.05</v>
      </c>
      <c r="H684">
        <v>120.69</v>
      </c>
      <c r="I684">
        <v>5</v>
      </c>
      <c r="J684" t="str">
        <f>TEXT(SalesData[[#This Row],[Order Date]],"mmm")</f>
        <v>May</v>
      </c>
      <c r="K684">
        <f>YEAR(SalesData[[#This Row],[Order Date]])</f>
        <v>2025</v>
      </c>
      <c r="L684" s="3">
        <f>SalesData[[#This Row],[Profit]]/SalesData[[#This Row],[Sales]]</f>
        <v>0.12454465713843456</v>
      </c>
    </row>
    <row r="685" spans="1:12">
      <c r="A685" t="s">
        <v>1148</v>
      </c>
      <c r="B685" s="2">
        <v>46005</v>
      </c>
      <c r="C685" t="s">
        <v>1149</v>
      </c>
      <c r="D685" t="s">
        <v>14</v>
      </c>
      <c r="E685" t="s">
        <v>33</v>
      </c>
      <c r="F685" t="s">
        <v>308</v>
      </c>
      <c r="G685">
        <v>6871.71</v>
      </c>
      <c r="H685">
        <v>1648.86</v>
      </c>
      <c r="I685">
        <v>6</v>
      </c>
      <c r="J685" t="str">
        <f>TEXT(SalesData[[#This Row],[Order Date]],"mmm")</f>
        <v>Dec</v>
      </c>
      <c r="K685">
        <f>YEAR(SalesData[[#This Row],[Order Date]])</f>
        <v>2025</v>
      </c>
      <c r="L685" s="3">
        <f>SalesData[[#This Row],[Profit]]/SalesData[[#This Row],[Sales]]</f>
        <v>0.23994900832543864</v>
      </c>
    </row>
    <row r="686" spans="1:12">
      <c r="A686" t="s">
        <v>1150</v>
      </c>
      <c r="B686" s="2">
        <v>45892</v>
      </c>
      <c r="C686" t="s">
        <v>285</v>
      </c>
      <c r="D686" t="s">
        <v>28</v>
      </c>
      <c r="E686" t="s">
        <v>37</v>
      </c>
      <c r="F686" t="s">
        <v>47</v>
      </c>
      <c r="G686">
        <v>11.02</v>
      </c>
      <c r="H686">
        <v>1.56</v>
      </c>
      <c r="I686">
        <v>1</v>
      </c>
      <c r="J686" t="str">
        <f>TEXT(SalesData[[#This Row],[Order Date]],"mmm")</f>
        <v>Aug</v>
      </c>
      <c r="K686">
        <f>YEAR(SalesData[[#This Row],[Order Date]])</f>
        <v>2025</v>
      </c>
      <c r="L686" s="3">
        <f>SalesData[[#This Row],[Profit]]/SalesData[[#This Row],[Sales]]</f>
        <v>0.14156079854809439</v>
      </c>
    </row>
    <row r="687" spans="1:12">
      <c r="A687" t="s">
        <v>1151</v>
      </c>
      <c r="B687" s="2">
        <v>45912</v>
      </c>
      <c r="C687" t="s">
        <v>1064</v>
      </c>
      <c r="D687" t="s">
        <v>23</v>
      </c>
      <c r="E687" t="s">
        <v>37</v>
      </c>
      <c r="F687" t="s">
        <v>38</v>
      </c>
      <c r="G687">
        <v>83.73</v>
      </c>
      <c r="H687">
        <v>16.940000000000001</v>
      </c>
      <c r="I687">
        <v>3</v>
      </c>
      <c r="J687" t="str">
        <f>TEXT(SalesData[[#This Row],[Order Date]],"mmm")</f>
        <v>Sep</v>
      </c>
      <c r="K687">
        <f>YEAR(SalesData[[#This Row],[Order Date]])</f>
        <v>2025</v>
      </c>
      <c r="L687" s="3">
        <f>SalesData[[#This Row],[Profit]]/SalesData[[#This Row],[Sales]]</f>
        <v>0.20231697121700706</v>
      </c>
    </row>
    <row r="688" spans="1:12">
      <c r="A688" t="s">
        <v>1152</v>
      </c>
      <c r="B688" s="2">
        <v>45900</v>
      </c>
      <c r="C688" t="s">
        <v>1153</v>
      </c>
      <c r="D688" t="s">
        <v>28</v>
      </c>
      <c r="E688" t="s">
        <v>41</v>
      </c>
      <c r="F688" t="s">
        <v>42</v>
      </c>
      <c r="G688">
        <v>202.62</v>
      </c>
      <c r="H688">
        <v>21.38</v>
      </c>
      <c r="I688">
        <v>3</v>
      </c>
      <c r="J688" t="str">
        <f>TEXT(SalesData[[#This Row],[Order Date]],"mmm")</f>
        <v>Aug</v>
      </c>
      <c r="K688">
        <f>YEAR(SalesData[[#This Row],[Order Date]])</f>
        <v>2025</v>
      </c>
      <c r="L688" s="3">
        <f>SalesData[[#This Row],[Profit]]/SalesData[[#This Row],[Sales]]</f>
        <v>0.10551771789556805</v>
      </c>
    </row>
    <row r="689" spans="1:12">
      <c r="A689" t="s">
        <v>1154</v>
      </c>
      <c r="B689" s="2">
        <v>45924</v>
      </c>
      <c r="C689" t="s">
        <v>133</v>
      </c>
      <c r="D689" t="s">
        <v>28</v>
      </c>
      <c r="E689" t="s">
        <v>33</v>
      </c>
      <c r="F689" t="s">
        <v>308</v>
      </c>
      <c r="G689">
        <v>2201.16</v>
      </c>
      <c r="H689">
        <v>436.86</v>
      </c>
      <c r="I689">
        <v>4</v>
      </c>
      <c r="J689" t="str">
        <f>TEXT(SalesData[[#This Row],[Order Date]],"mmm")</f>
        <v>Sep</v>
      </c>
      <c r="K689">
        <f>YEAR(SalesData[[#This Row],[Order Date]])</f>
        <v>2025</v>
      </c>
      <c r="L689" s="3">
        <f>SalesData[[#This Row],[Profit]]/SalesData[[#This Row],[Sales]]</f>
        <v>0.19846808046666306</v>
      </c>
    </row>
    <row r="690" spans="1:12">
      <c r="A690" t="s">
        <v>1155</v>
      </c>
      <c r="B690" s="2">
        <v>45885</v>
      </c>
      <c r="C690" t="s">
        <v>1156</v>
      </c>
      <c r="D690" t="s">
        <v>23</v>
      </c>
      <c r="E690" t="s">
        <v>15</v>
      </c>
      <c r="F690" t="s">
        <v>29</v>
      </c>
      <c r="G690">
        <v>49.46</v>
      </c>
      <c r="H690">
        <v>4.16</v>
      </c>
      <c r="I690">
        <v>2</v>
      </c>
      <c r="J690" t="str">
        <f>TEXT(SalesData[[#This Row],[Order Date]],"mmm")</f>
        <v>Aug</v>
      </c>
      <c r="K690">
        <f>YEAR(SalesData[[#This Row],[Order Date]])</f>
        <v>2025</v>
      </c>
      <c r="L690" s="3">
        <f>SalesData[[#This Row],[Profit]]/SalesData[[#This Row],[Sales]]</f>
        <v>8.4108370400323498E-2</v>
      </c>
    </row>
    <row r="691" spans="1:12">
      <c r="A691" t="s">
        <v>1157</v>
      </c>
      <c r="B691" s="2">
        <v>45805</v>
      </c>
      <c r="C691" t="s">
        <v>1114</v>
      </c>
      <c r="D691" t="s">
        <v>19</v>
      </c>
      <c r="E691" t="s">
        <v>24</v>
      </c>
      <c r="F691" t="s">
        <v>88</v>
      </c>
      <c r="G691">
        <v>448.3</v>
      </c>
      <c r="H691">
        <v>59.25</v>
      </c>
      <c r="I691">
        <v>2</v>
      </c>
      <c r="J691" t="str">
        <f>TEXT(SalesData[[#This Row],[Order Date]],"mmm")</f>
        <v>May</v>
      </c>
      <c r="K691">
        <f>YEAR(SalesData[[#This Row],[Order Date]])</f>
        <v>2025</v>
      </c>
      <c r="L691" s="3">
        <f>SalesData[[#This Row],[Profit]]/SalesData[[#This Row],[Sales]]</f>
        <v>0.13216596029444569</v>
      </c>
    </row>
    <row r="692" spans="1:12">
      <c r="A692" t="s">
        <v>1158</v>
      </c>
      <c r="B692" s="2">
        <v>45751</v>
      </c>
      <c r="C692" t="s">
        <v>499</v>
      </c>
      <c r="D692" t="s">
        <v>19</v>
      </c>
      <c r="E692" t="s">
        <v>15</v>
      </c>
      <c r="F692" t="s">
        <v>82</v>
      </c>
      <c r="G692">
        <v>58.08</v>
      </c>
      <c r="H692">
        <v>6.75</v>
      </c>
      <c r="I692">
        <v>3</v>
      </c>
      <c r="J692" t="str">
        <f>TEXT(SalesData[[#This Row],[Order Date]],"mmm")</f>
        <v>Apr</v>
      </c>
      <c r="K692">
        <f>YEAR(SalesData[[#This Row],[Order Date]])</f>
        <v>2025</v>
      </c>
      <c r="L692" s="3">
        <f>SalesData[[#This Row],[Profit]]/SalesData[[#This Row],[Sales]]</f>
        <v>0.11621900826446281</v>
      </c>
    </row>
    <row r="693" spans="1:12">
      <c r="A693" t="s">
        <v>1159</v>
      </c>
      <c r="B693" s="2">
        <v>45763</v>
      </c>
      <c r="C693" t="s">
        <v>661</v>
      </c>
      <c r="D693" t="s">
        <v>14</v>
      </c>
      <c r="E693" t="s">
        <v>37</v>
      </c>
      <c r="F693" t="s">
        <v>85</v>
      </c>
      <c r="G693">
        <v>88.98</v>
      </c>
      <c r="H693">
        <v>21.92</v>
      </c>
      <c r="I693">
        <v>3</v>
      </c>
      <c r="J693" t="str">
        <f>TEXT(SalesData[[#This Row],[Order Date]],"mmm")</f>
        <v>Apr</v>
      </c>
      <c r="K693">
        <f>YEAR(SalesData[[#This Row],[Order Date]])</f>
        <v>2025</v>
      </c>
      <c r="L693" s="3">
        <f>SalesData[[#This Row],[Profit]]/SalesData[[#This Row],[Sales]]</f>
        <v>0.24634749381883569</v>
      </c>
    </row>
    <row r="694" spans="1:12">
      <c r="A694" t="s">
        <v>1160</v>
      </c>
      <c r="B694" s="2">
        <v>45720</v>
      </c>
      <c r="C694" t="s">
        <v>354</v>
      </c>
      <c r="D694" t="s">
        <v>28</v>
      </c>
      <c r="E694" t="s">
        <v>37</v>
      </c>
      <c r="F694" t="s">
        <v>85</v>
      </c>
      <c r="G694">
        <v>224.12</v>
      </c>
      <c r="H694">
        <v>27.66</v>
      </c>
      <c r="I694">
        <v>4</v>
      </c>
      <c r="J694" t="str">
        <f>TEXT(SalesData[[#This Row],[Order Date]],"mmm")</f>
        <v>Mar</v>
      </c>
      <c r="K694">
        <f>YEAR(SalesData[[#This Row],[Order Date]])</f>
        <v>2025</v>
      </c>
      <c r="L694" s="3">
        <f>SalesData[[#This Row],[Profit]]/SalesData[[#This Row],[Sales]]</f>
        <v>0.12341602712832411</v>
      </c>
    </row>
    <row r="695" spans="1:12">
      <c r="A695" t="s">
        <v>1161</v>
      </c>
      <c r="B695" s="2">
        <v>45937</v>
      </c>
      <c r="C695" t="s">
        <v>1162</v>
      </c>
      <c r="D695" t="s">
        <v>14</v>
      </c>
      <c r="E695" t="s">
        <v>33</v>
      </c>
      <c r="F695" t="s">
        <v>308</v>
      </c>
      <c r="G695">
        <v>3067.6</v>
      </c>
      <c r="H695">
        <v>662.38</v>
      </c>
      <c r="I695">
        <v>5</v>
      </c>
      <c r="J695" t="str">
        <f>TEXT(SalesData[[#This Row],[Order Date]],"mmm")</f>
        <v>Oct</v>
      </c>
      <c r="K695">
        <f>YEAR(SalesData[[#This Row],[Order Date]])</f>
        <v>2025</v>
      </c>
      <c r="L695" s="3">
        <f>SalesData[[#This Row],[Profit]]/SalesData[[#This Row],[Sales]]</f>
        <v>0.21592776111618203</v>
      </c>
    </row>
    <row r="696" spans="1:12">
      <c r="A696" t="s">
        <v>1163</v>
      </c>
      <c r="B696" s="2">
        <v>45884</v>
      </c>
      <c r="C696" t="s">
        <v>356</v>
      </c>
      <c r="D696" t="s">
        <v>28</v>
      </c>
      <c r="E696" t="s">
        <v>37</v>
      </c>
      <c r="F696" t="s">
        <v>85</v>
      </c>
      <c r="G696">
        <v>211.8</v>
      </c>
      <c r="H696">
        <v>30.97</v>
      </c>
      <c r="I696">
        <v>6</v>
      </c>
      <c r="J696" t="str">
        <f>TEXT(SalesData[[#This Row],[Order Date]],"mmm")</f>
        <v>Aug</v>
      </c>
      <c r="K696">
        <f>YEAR(SalesData[[#This Row],[Order Date]])</f>
        <v>2025</v>
      </c>
      <c r="L696" s="3">
        <f>SalesData[[#This Row],[Profit]]/SalesData[[#This Row],[Sales]]</f>
        <v>0.14622285174693106</v>
      </c>
    </row>
    <row r="697" spans="1:12">
      <c r="A697" t="s">
        <v>1164</v>
      </c>
      <c r="B697" s="2">
        <v>45770</v>
      </c>
      <c r="C697" t="s">
        <v>385</v>
      </c>
      <c r="D697" t="s">
        <v>32</v>
      </c>
      <c r="E697" t="s">
        <v>24</v>
      </c>
      <c r="F697" t="s">
        <v>55</v>
      </c>
      <c r="G697">
        <v>506.4</v>
      </c>
      <c r="H697">
        <v>103.96</v>
      </c>
      <c r="I697">
        <v>6</v>
      </c>
      <c r="J697" t="str">
        <f>TEXT(SalesData[[#This Row],[Order Date]],"mmm")</f>
        <v>Apr</v>
      </c>
      <c r="K697">
        <f>YEAR(SalesData[[#This Row],[Order Date]])</f>
        <v>2025</v>
      </c>
      <c r="L697" s="3">
        <f>SalesData[[#This Row],[Profit]]/SalesData[[#This Row],[Sales]]</f>
        <v>0.20529225908372828</v>
      </c>
    </row>
    <row r="698" spans="1:12">
      <c r="A698" t="s">
        <v>1165</v>
      </c>
      <c r="B698" s="2">
        <v>45800</v>
      </c>
      <c r="C698" t="s">
        <v>1166</v>
      </c>
      <c r="D698" t="s">
        <v>32</v>
      </c>
      <c r="E698" t="s">
        <v>33</v>
      </c>
      <c r="F698" t="s">
        <v>63</v>
      </c>
      <c r="G698">
        <v>3705.24</v>
      </c>
      <c r="H698">
        <v>351.46</v>
      </c>
      <c r="I698">
        <v>6</v>
      </c>
      <c r="J698" t="str">
        <f>TEXT(SalesData[[#This Row],[Order Date]],"mmm")</f>
        <v>May</v>
      </c>
      <c r="K698">
        <f>YEAR(SalesData[[#This Row],[Order Date]])</f>
        <v>2025</v>
      </c>
      <c r="L698" s="3">
        <f>SalesData[[#This Row],[Profit]]/SalesData[[#This Row],[Sales]]</f>
        <v>9.4854854206475159E-2</v>
      </c>
    </row>
    <row r="699" spans="1:12">
      <c r="A699" t="s">
        <v>1167</v>
      </c>
      <c r="B699" s="2">
        <v>45757</v>
      </c>
      <c r="C699" t="s">
        <v>452</v>
      </c>
      <c r="D699" t="s">
        <v>23</v>
      </c>
      <c r="E699" t="s">
        <v>41</v>
      </c>
      <c r="F699" t="s">
        <v>42</v>
      </c>
      <c r="G699">
        <v>637.44000000000005</v>
      </c>
      <c r="H699">
        <v>87.32</v>
      </c>
      <c r="I699">
        <v>6</v>
      </c>
      <c r="J699" t="str">
        <f>TEXT(SalesData[[#This Row],[Order Date]],"mmm")</f>
        <v>Apr</v>
      </c>
      <c r="K699">
        <f>YEAR(SalesData[[#This Row],[Order Date]])</f>
        <v>2025</v>
      </c>
      <c r="L699" s="3">
        <f>SalesData[[#This Row],[Profit]]/SalesData[[#This Row],[Sales]]</f>
        <v>0.13698544176706826</v>
      </c>
    </row>
    <row r="700" spans="1:12">
      <c r="A700" t="s">
        <v>1168</v>
      </c>
      <c r="B700" s="2">
        <v>45847</v>
      </c>
      <c r="C700" t="s">
        <v>1169</v>
      </c>
      <c r="D700" t="s">
        <v>32</v>
      </c>
      <c r="E700" t="s">
        <v>24</v>
      </c>
      <c r="F700" t="s">
        <v>97</v>
      </c>
      <c r="G700">
        <v>1027.74</v>
      </c>
      <c r="H700">
        <v>282.48</v>
      </c>
      <c r="I700">
        <v>3</v>
      </c>
      <c r="J700" t="str">
        <f>TEXT(SalesData[[#This Row],[Order Date]],"mmm")</f>
        <v>Jul</v>
      </c>
      <c r="K700">
        <f>YEAR(SalesData[[#This Row],[Order Date]])</f>
        <v>2025</v>
      </c>
      <c r="L700" s="3">
        <f>SalesData[[#This Row],[Profit]]/SalesData[[#This Row],[Sales]]</f>
        <v>0.27485550820246368</v>
      </c>
    </row>
    <row r="701" spans="1:12">
      <c r="A701" t="s">
        <v>1170</v>
      </c>
      <c r="B701" s="2">
        <v>45885</v>
      </c>
      <c r="C701" t="s">
        <v>1138</v>
      </c>
      <c r="D701" t="s">
        <v>28</v>
      </c>
      <c r="E701" t="s">
        <v>24</v>
      </c>
      <c r="F701" t="s">
        <v>88</v>
      </c>
      <c r="G701">
        <v>1894.92</v>
      </c>
      <c r="H701">
        <v>242.39</v>
      </c>
      <c r="I701">
        <v>6</v>
      </c>
      <c r="J701" t="str">
        <f>TEXT(SalesData[[#This Row],[Order Date]],"mmm")</f>
        <v>Aug</v>
      </c>
      <c r="K701">
        <f>YEAR(SalesData[[#This Row],[Order Date]])</f>
        <v>2025</v>
      </c>
      <c r="L701" s="3">
        <f>SalesData[[#This Row],[Profit]]/SalesData[[#This Row],[Sales]]</f>
        <v>0.12791569037215289</v>
      </c>
    </row>
    <row r="702" spans="1:12">
      <c r="A702" t="s">
        <v>1171</v>
      </c>
      <c r="B702" s="2">
        <v>45702</v>
      </c>
      <c r="C702" t="s">
        <v>1064</v>
      </c>
      <c r="D702" t="s">
        <v>14</v>
      </c>
      <c r="E702" t="s">
        <v>33</v>
      </c>
      <c r="F702" t="s">
        <v>34</v>
      </c>
      <c r="G702">
        <v>290.58</v>
      </c>
      <c r="H702">
        <v>70.67</v>
      </c>
      <c r="I702">
        <v>3</v>
      </c>
      <c r="J702" t="str">
        <f>TEXT(SalesData[[#This Row],[Order Date]],"mmm")</f>
        <v>Feb</v>
      </c>
      <c r="K702">
        <f>YEAR(SalesData[[#This Row],[Order Date]])</f>
        <v>2025</v>
      </c>
      <c r="L702" s="3">
        <f>SalesData[[#This Row],[Profit]]/SalesData[[#This Row],[Sales]]</f>
        <v>0.24320324867506368</v>
      </c>
    </row>
    <row r="703" spans="1:12">
      <c r="A703" t="s">
        <v>1172</v>
      </c>
      <c r="B703" s="2">
        <v>45703</v>
      </c>
      <c r="C703" t="s">
        <v>910</v>
      </c>
      <c r="D703" t="s">
        <v>14</v>
      </c>
      <c r="E703" t="s">
        <v>24</v>
      </c>
      <c r="F703" t="s">
        <v>55</v>
      </c>
      <c r="G703">
        <v>1017.52</v>
      </c>
      <c r="H703">
        <v>255.45</v>
      </c>
      <c r="I703">
        <v>4</v>
      </c>
      <c r="J703" t="str">
        <f>TEXT(SalesData[[#This Row],[Order Date]],"mmm")</f>
        <v>Feb</v>
      </c>
      <c r="K703">
        <f>YEAR(SalesData[[#This Row],[Order Date]])</f>
        <v>2025</v>
      </c>
      <c r="L703" s="3">
        <f>SalesData[[#This Row],[Profit]]/SalesData[[#This Row],[Sales]]</f>
        <v>0.25105157638179104</v>
      </c>
    </row>
    <row r="704" spans="1:12">
      <c r="A704" t="s">
        <v>1173</v>
      </c>
      <c r="B704" s="2">
        <v>45753</v>
      </c>
      <c r="C704" t="s">
        <v>937</v>
      </c>
      <c r="D704" t="s">
        <v>14</v>
      </c>
      <c r="E704" t="s">
        <v>33</v>
      </c>
      <c r="F704" t="s">
        <v>52</v>
      </c>
      <c r="G704">
        <v>2273.2199999999998</v>
      </c>
      <c r="H704">
        <v>299.3</v>
      </c>
      <c r="I704">
        <v>3</v>
      </c>
      <c r="J704" t="str">
        <f>TEXT(SalesData[[#This Row],[Order Date]],"mmm")</f>
        <v>Apr</v>
      </c>
      <c r="K704">
        <f>YEAR(SalesData[[#This Row],[Order Date]])</f>
        <v>2025</v>
      </c>
      <c r="L704" s="3">
        <f>SalesData[[#This Row],[Profit]]/SalesData[[#This Row],[Sales]]</f>
        <v>0.13166345536287735</v>
      </c>
    </row>
    <row r="705" spans="1:12">
      <c r="A705" t="s">
        <v>1174</v>
      </c>
      <c r="B705" s="2">
        <v>45895</v>
      </c>
      <c r="C705" t="s">
        <v>867</v>
      </c>
      <c r="D705" t="s">
        <v>32</v>
      </c>
      <c r="E705" t="s">
        <v>15</v>
      </c>
      <c r="F705" t="s">
        <v>29</v>
      </c>
      <c r="G705">
        <v>155.16</v>
      </c>
      <c r="H705">
        <v>18.760000000000002</v>
      </c>
      <c r="I705">
        <v>6</v>
      </c>
      <c r="J705" t="str">
        <f>TEXT(SalesData[[#This Row],[Order Date]],"mmm")</f>
        <v>Aug</v>
      </c>
      <c r="K705">
        <f>YEAR(SalesData[[#This Row],[Order Date]])</f>
        <v>2025</v>
      </c>
      <c r="L705" s="3">
        <f>SalesData[[#This Row],[Profit]]/SalesData[[#This Row],[Sales]]</f>
        <v>0.12090745037380769</v>
      </c>
    </row>
    <row r="706" spans="1:12">
      <c r="A706" t="s">
        <v>1175</v>
      </c>
      <c r="B706" s="2">
        <v>45805</v>
      </c>
      <c r="C706" t="s">
        <v>820</v>
      </c>
      <c r="D706" t="s">
        <v>28</v>
      </c>
      <c r="E706" t="s">
        <v>37</v>
      </c>
      <c r="F706" t="s">
        <v>85</v>
      </c>
      <c r="G706">
        <v>11.56</v>
      </c>
      <c r="H706">
        <v>1.64</v>
      </c>
      <c r="I706">
        <v>1</v>
      </c>
      <c r="J706" t="str">
        <f>TEXT(SalesData[[#This Row],[Order Date]],"mmm")</f>
        <v>May</v>
      </c>
      <c r="K706">
        <f>YEAR(SalesData[[#This Row],[Order Date]])</f>
        <v>2025</v>
      </c>
      <c r="L706" s="3">
        <f>SalesData[[#This Row],[Profit]]/SalesData[[#This Row],[Sales]]</f>
        <v>0.14186851211072662</v>
      </c>
    </row>
    <row r="707" spans="1:12">
      <c r="A707" t="s">
        <v>1176</v>
      </c>
      <c r="B707" s="2">
        <v>45692</v>
      </c>
      <c r="C707" t="s">
        <v>252</v>
      </c>
      <c r="D707" t="s">
        <v>23</v>
      </c>
      <c r="E707" t="s">
        <v>33</v>
      </c>
      <c r="F707" t="s">
        <v>63</v>
      </c>
      <c r="G707">
        <v>1740.24</v>
      </c>
      <c r="H707">
        <v>280.05</v>
      </c>
      <c r="I707">
        <v>3</v>
      </c>
      <c r="J707" t="str">
        <f>TEXT(SalesData[[#This Row],[Order Date]],"mmm")</f>
        <v>Feb</v>
      </c>
      <c r="K707">
        <f>YEAR(SalesData[[#This Row],[Order Date]])</f>
        <v>2025</v>
      </c>
      <c r="L707" s="3">
        <f>SalesData[[#This Row],[Profit]]/SalesData[[#This Row],[Sales]]</f>
        <v>0.16092607916149498</v>
      </c>
    </row>
    <row r="708" spans="1:12">
      <c r="A708" t="s">
        <v>1177</v>
      </c>
      <c r="B708" s="2">
        <v>45719</v>
      </c>
      <c r="C708" t="s">
        <v>121</v>
      </c>
      <c r="D708" t="s">
        <v>23</v>
      </c>
      <c r="E708" t="s">
        <v>15</v>
      </c>
      <c r="F708" t="s">
        <v>29</v>
      </c>
      <c r="G708">
        <v>39.08</v>
      </c>
      <c r="H708">
        <v>2.81</v>
      </c>
      <c r="I708">
        <v>2</v>
      </c>
      <c r="J708" t="str">
        <f>TEXT(SalesData[[#This Row],[Order Date]],"mmm")</f>
        <v>Mar</v>
      </c>
      <c r="K708">
        <f>YEAR(SalesData[[#This Row],[Order Date]])</f>
        <v>2025</v>
      </c>
      <c r="L708" s="3">
        <f>SalesData[[#This Row],[Profit]]/SalesData[[#This Row],[Sales]]</f>
        <v>7.1903787103377692E-2</v>
      </c>
    </row>
    <row r="709" spans="1:12">
      <c r="A709" t="s">
        <v>1178</v>
      </c>
      <c r="B709" s="2">
        <v>46012</v>
      </c>
      <c r="C709" t="s">
        <v>1179</v>
      </c>
      <c r="D709" t="s">
        <v>19</v>
      </c>
      <c r="E709" t="s">
        <v>15</v>
      </c>
      <c r="F709" t="s">
        <v>29</v>
      </c>
      <c r="G709">
        <v>115.97</v>
      </c>
      <c r="H709">
        <v>6.65</v>
      </c>
      <c r="I709">
        <v>4</v>
      </c>
      <c r="J709" t="str">
        <f>TEXT(SalesData[[#This Row],[Order Date]],"mmm")</f>
        <v>Dec</v>
      </c>
      <c r="K709">
        <f>YEAR(SalesData[[#This Row],[Order Date]])</f>
        <v>2025</v>
      </c>
      <c r="L709" s="3">
        <f>SalesData[[#This Row],[Profit]]/SalesData[[#This Row],[Sales]]</f>
        <v>5.7342416142105723E-2</v>
      </c>
    </row>
    <row r="710" spans="1:12">
      <c r="A710" t="s">
        <v>1180</v>
      </c>
      <c r="B710" s="2">
        <v>45985</v>
      </c>
      <c r="C710" t="s">
        <v>314</v>
      </c>
      <c r="D710" t="s">
        <v>23</v>
      </c>
      <c r="E710" t="s">
        <v>15</v>
      </c>
      <c r="F710" t="s">
        <v>16</v>
      </c>
      <c r="G710">
        <v>22.97</v>
      </c>
      <c r="H710">
        <v>2.2599999999999998</v>
      </c>
      <c r="I710">
        <v>1</v>
      </c>
      <c r="J710" t="str">
        <f>TEXT(SalesData[[#This Row],[Order Date]],"mmm")</f>
        <v>Nov</v>
      </c>
      <c r="K710">
        <f>YEAR(SalesData[[#This Row],[Order Date]])</f>
        <v>2025</v>
      </c>
      <c r="L710" s="3">
        <f>SalesData[[#This Row],[Profit]]/SalesData[[#This Row],[Sales]]</f>
        <v>9.8389203308663464E-2</v>
      </c>
    </row>
    <row r="711" spans="1:12">
      <c r="A711" t="s">
        <v>1181</v>
      </c>
      <c r="B711" s="2">
        <v>46008</v>
      </c>
      <c r="C711" t="s">
        <v>643</v>
      </c>
      <c r="D711" t="s">
        <v>14</v>
      </c>
      <c r="E711" t="s">
        <v>41</v>
      </c>
      <c r="F711" t="s">
        <v>58</v>
      </c>
      <c r="G711">
        <v>175.09</v>
      </c>
      <c r="H711">
        <v>23.8</v>
      </c>
      <c r="I711">
        <v>1</v>
      </c>
      <c r="J711" t="str">
        <f>TEXT(SalesData[[#This Row],[Order Date]],"mmm")</f>
        <v>Dec</v>
      </c>
      <c r="K711">
        <f>YEAR(SalesData[[#This Row],[Order Date]])</f>
        <v>2025</v>
      </c>
      <c r="L711" s="3">
        <f>SalesData[[#This Row],[Profit]]/SalesData[[#This Row],[Sales]]</f>
        <v>0.13593009309497972</v>
      </c>
    </row>
    <row r="712" spans="1:12">
      <c r="A712" t="s">
        <v>1182</v>
      </c>
      <c r="B712" s="2">
        <v>45802</v>
      </c>
      <c r="C712" t="s">
        <v>185</v>
      </c>
      <c r="D712" t="s">
        <v>28</v>
      </c>
      <c r="E712" t="s">
        <v>24</v>
      </c>
      <c r="F712" t="s">
        <v>134</v>
      </c>
      <c r="G712">
        <v>91.9</v>
      </c>
      <c r="H712">
        <v>18.440000000000001</v>
      </c>
      <c r="I712">
        <v>1</v>
      </c>
      <c r="J712" t="str">
        <f>TEXT(SalesData[[#This Row],[Order Date]],"mmm")</f>
        <v>May</v>
      </c>
      <c r="K712">
        <f>YEAR(SalesData[[#This Row],[Order Date]])</f>
        <v>2025</v>
      </c>
      <c r="L712" s="3">
        <f>SalesData[[#This Row],[Profit]]/SalesData[[#This Row],[Sales]]</f>
        <v>0.20065288356909686</v>
      </c>
    </row>
    <row r="713" spans="1:12">
      <c r="A713" t="s">
        <v>1183</v>
      </c>
      <c r="B713" s="2">
        <v>45944</v>
      </c>
      <c r="C713" t="s">
        <v>1184</v>
      </c>
      <c r="D713" t="s">
        <v>23</v>
      </c>
      <c r="E713" t="s">
        <v>41</v>
      </c>
      <c r="F713" t="s">
        <v>42</v>
      </c>
      <c r="G713">
        <v>514.44000000000005</v>
      </c>
      <c r="H713">
        <v>61.27</v>
      </c>
      <c r="I713">
        <v>4</v>
      </c>
      <c r="J713" t="str">
        <f>TEXT(SalesData[[#This Row],[Order Date]],"mmm")</f>
        <v>Oct</v>
      </c>
      <c r="K713">
        <f>YEAR(SalesData[[#This Row],[Order Date]])</f>
        <v>2025</v>
      </c>
      <c r="L713" s="3">
        <f>SalesData[[#This Row],[Profit]]/SalesData[[#This Row],[Sales]]</f>
        <v>0.11910038099681206</v>
      </c>
    </row>
    <row r="714" spans="1:12">
      <c r="A714" t="s">
        <v>1185</v>
      </c>
      <c r="B714" s="2">
        <v>45666</v>
      </c>
      <c r="C714" t="s">
        <v>760</v>
      </c>
      <c r="D714" t="s">
        <v>14</v>
      </c>
      <c r="E714" t="s">
        <v>41</v>
      </c>
      <c r="F714" t="s">
        <v>158</v>
      </c>
      <c r="G714">
        <v>900.76</v>
      </c>
      <c r="H714">
        <v>224.66</v>
      </c>
      <c r="I714">
        <v>4</v>
      </c>
      <c r="J714" t="str">
        <f>TEXT(SalesData[[#This Row],[Order Date]],"mmm")</f>
        <v>Jan</v>
      </c>
      <c r="K714">
        <f>YEAR(SalesData[[#This Row],[Order Date]])</f>
        <v>2025</v>
      </c>
      <c r="L714" s="3">
        <f>SalesData[[#This Row],[Profit]]/SalesData[[#This Row],[Sales]]</f>
        <v>0.24941160797548736</v>
      </c>
    </row>
    <row r="715" spans="1:12">
      <c r="A715" t="s">
        <v>1186</v>
      </c>
      <c r="B715" s="2">
        <v>45833</v>
      </c>
      <c r="C715" t="s">
        <v>1187</v>
      </c>
      <c r="D715" t="s">
        <v>32</v>
      </c>
      <c r="E715" t="s">
        <v>41</v>
      </c>
      <c r="F715" t="s">
        <v>42</v>
      </c>
      <c r="G715">
        <v>107.92</v>
      </c>
      <c r="H715">
        <v>29.52</v>
      </c>
      <c r="I715">
        <v>2</v>
      </c>
      <c r="J715" t="str">
        <f>TEXT(SalesData[[#This Row],[Order Date]],"mmm")</f>
        <v>Jun</v>
      </c>
      <c r="K715">
        <f>YEAR(SalesData[[#This Row],[Order Date]])</f>
        <v>2025</v>
      </c>
      <c r="L715" s="3">
        <f>SalesData[[#This Row],[Profit]]/SalesData[[#This Row],[Sales]]</f>
        <v>0.27353595255744995</v>
      </c>
    </row>
    <row r="716" spans="1:12">
      <c r="A716" t="s">
        <v>1188</v>
      </c>
      <c r="B716" s="2">
        <v>45815</v>
      </c>
      <c r="C716" t="s">
        <v>1064</v>
      </c>
      <c r="D716" t="s">
        <v>19</v>
      </c>
      <c r="E716" t="s">
        <v>37</v>
      </c>
      <c r="F716" t="s">
        <v>155</v>
      </c>
      <c r="G716">
        <v>281.82</v>
      </c>
      <c r="H716">
        <v>-16.45</v>
      </c>
      <c r="I716">
        <v>6</v>
      </c>
      <c r="J716" t="str">
        <f>TEXT(SalesData[[#This Row],[Order Date]],"mmm")</f>
        <v>Jun</v>
      </c>
      <c r="K716">
        <f>YEAR(SalesData[[#This Row],[Order Date]])</f>
        <v>2025</v>
      </c>
      <c r="L716" s="3">
        <f>SalesData[[#This Row],[Profit]]/SalesData[[#This Row],[Sales]]</f>
        <v>-5.8370591157476399E-2</v>
      </c>
    </row>
    <row r="717" spans="1:12">
      <c r="A717" t="s">
        <v>1189</v>
      </c>
      <c r="B717" s="2">
        <v>45905</v>
      </c>
      <c r="C717" t="s">
        <v>295</v>
      </c>
      <c r="D717" t="s">
        <v>32</v>
      </c>
      <c r="E717" t="s">
        <v>15</v>
      </c>
      <c r="F717" t="s">
        <v>82</v>
      </c>
      <c r="G717">
        <v>107.04</v>
      </c>
      <c r="H717">
        <v>6.3</v>
      </c>
      <c r="I717">
        <v>6</v>
      </c>
      <c r="J717" t="str">
        <f>TEXT(SalesData[[#This Row],[Order Date]],"mmm")</f>
        <v>Sep</v>
      </c>
      <c r="K717">
        <f>YEAR(SalesData[[#This Row],[Order Date]])</f>
        <v>2025</v>
      </c>
      <c r="L717" s="3">
        <f>SalesData[[#This Row],[Profit]]/SalesData[[#This Row],[Sales]]</f>
        <v>5.8856502242152463E-2</v>
      </c>
    </row>
    <row r="718" spans="1:12">
      <c r="A718" t="s">
        <v>1190</v>
      </c>
      <c r="B718" s="2">
        <v>45787</v>
      </c>
      <c r="C718" t="s">
        <v>655</v>
      </c>
      <c r="D718" t="s">
        <v>14</v>
      </c>
      <c r="E718" t="s">
        <v>41</v>
      </c>
      <c r="F718" t="s">
        <v>42</v>
      </c>
      <c r="G718">
        <v>232.02</v>
      </c>
      <c r="H718">
        <v>35.119999999999997</v>
      </c>
      <c r="I718">
        <v>1</v>
      </c>
      <c r="J718" t="str">
        <f>TEXT(SalesData[[#This Row],[Order Date]],"mmm")</f>
        <v>May</v>
      </c>
      <c r="K718">
        <f>YEAR(SalesData[[#This Row],[Order Date]])</f>
        <v>2025</v>
      </c>
      <c r="L718" s="3">
        <f>SalesData[[#This Row],[Profit]]/SalesData[[#This Row],[Sales]]</f>
        <v>0.15136626152917851</v>
      </c>
    </row>
    <row r="719" spans="1:12">
      <c r="A719" t="s">
        <v>1191</v>
      </c>
      <c r="B719" s="2">
        <v>45752</v>
      </c>
      <c r="C719" t="s">
        <v>389</v>
      </c>
      <c r="D719" t="s">
        <v>32</v>
      </c>
      <c r="E719" t="s">
        <v>15</v>
      </c>
      <c r="F719" t="s">
        <v>29</v>
      </c>
      <c r="G719">
        <v>68.5</v>
      </c>
      <c r="H719">
        <v>5.07</v>
      </c>
      <c r="I719">
        <v>5</v>
      </c>
      <c r="J719" t="str">
        <f>TEXT(SalesData[[#This Row],[Order Date]],"mmm")</f>
        <v>Apr</v>
      </c>
      <c r="K719">
        <f>YEAR(SalesData[[#This Row],[Order Date]])</f>
        <v>2025</v>
      </c>
      <c r="L719" s="3">
        <f>SalesData[[#This Row],[Profit]]/SalesData[[#This Row],[Sales]]</f>
        <v>7.4014598540145984E-2</v>
      </c>
    </row>
    <row r="720" spans="1:12">
      <c r="A720" t="s">
        <v>1192</v>
      </c>
      <c r="B720" s="2">
        <v>45971</v>
      </c>
      <c r="C720" t="s">
        <v>1193</v>
      </c>
      <c r="D720" t="s">
        <v>23</v>
      </c>
      <c r="E720" t="s">
        <v>15</v>
      </c>
      <c r="F720" t="s">
        <v>20</v>
      </c>
      <c r="G720">
        <v>23.95</v>
      </c>
      <c r="H720">
        <v>4.66</v>
      </c>
      <c r="I720">
        <v>1</v>
      </c>
      <c r="J720" t="str">
        <f>TEXT(SalesData[[#This Row],[Order Date]],"mmm")</f>
        <v>Nov</v>
      </c>
      <c r="K720">
        <f>YEAR(SalesData[[#This Row],[Order Date]])</f>
        <v>2025</v>
      </c>
      <c r="L720" s="3">
        <f>SalesData[[#This Row],[Profit]]/SalesData[[#This Row],[Sales]]</f>
        <v>0.19457202505219207</v>
      </c>
    </row>
    <row r="721" spans="1:12">
      <c r="A721" t="s">
        <v>1194</v>
      </c>
      <c r="B721" s="2">
        <v>45933</v>
      </c>
      <c r="C721" t="s">
        <v>1195</v>
      </c>
      <c r="D721" t="s">
        <v>19</v>
      </c>
      <c r="E721" t="s">
        <v>37</v>
      </c>
      <c r="F721" t="s">
        <v>155</v>
      </c>
      <c r="G721">
        <v>130.19999999999999</v>
      </c>
      <c r="H721">
        <v>16.64</v>
      </c>
      <c r="I721">
        <v>3</v>
      </c>
      <c r="J721" t="str">
        <f>TEXT(SalesData[[#This Row],[Order Date]],"mmm")</f>
        <v>Oct</v>
      </c>
      <c r="K721">
        <f>YEAR(SalesData[[#This Row],[Order Date]])</f>
        <v>2025</v>
      </c>
      <c r="L721" s="3">
        <f>SalesData[[#This Row],[Profit]]/SalesData[[#This Row],[Sales]]</f>
        <v>0.12780337941628267</v>
      </c>
    </row>
    <row r="722" spans="1:12">
      <c r="A722" t="s">
        <v>1196</v>
      </c>
      <c r="B722" s="2">
        <v>45712</v>
      </c>
      <c r="C722" t="s">
        <v>391</v>
      </c>
      <c r="D722" t="s">
        <v>28</v>
      </c>
      <c r="E722" t="s">
        <v>24</v>
      </c>
      <c r="F722" t="s">
        <v>55</v>
      </c>
      <c r="G722">
        <v>309</v>
      </c>
      <c r="H722">
        <v>77.959999999999994</v>
      </c>
      <c r="I722">
        <v>2</v>
      </c>
      <c r="J722" t="str">
        <f>TEXT(SalesData[[#This Row],[Order Date]],"mmm")</f>
        <v>Feb</v>
      </c>
      <c r="K722">
        <f>YEAR(SalesData[[#This Row],[Order Date]])</f>
        <v>2025</v>
      </c>
      <c r="L722" s="3">
        <f>SalesData[[#This Row],[Profit]]/SalesData[[#This Row],[Sales]]</f>
        <v>0.25229773462783167</v>
      </c>
    </row>
    <row r="723" spans="1:12">
      <c r="A723" t="s">
        <v>1197</v>
      </c>
      <c r="B723" s="2">
        <v>45896</v>
      </c>
      <c r="C723" t="s">
        <v>1198</v>
      </c>
      <c r="D723" t="s">
        <v>19</v>
      </c>
      <c r="E723" t="s">
        <v>33</v>
      </c>
      <c r="F723" t="s">
        <v>308</v>
      </c>
      <c r="G723">
        <v>1727.46</v>
      </c>
      <c r="H723">
        <v>350.27</v>
      </c>
      <c r="I723">
        <v>6</v>
      </c>
      <c r="J723" t="str">
        <f>TEXT(SalesData[[#This Row],[Order Date]],"mmm")</f>
        <v>Aug</v>
      </c>
      <c r="K723">
        <f>YEAR(SalesData[[#This Row],[Order Date]])</f>
        <v>2025</v>
      </c>
      <c r="L723" s="3">
        <f>SalesData[[#This Row],[Profit]]/SalesData[[#This Row],[Sales]]</f>
        <v>0.20276591064337235</v>
      </c>
    </row>
    <row r="724" spans="1:12">
      <c r="A724" t="s">
        <v>1199</v>
      </c>
      <c r="B724" s="2">
        <v>45910</v>
      </c>
      <c r="C724" t="s">
        <v>125</v>
      </c>
      <c r="D724" t="s">
        <v>14</v>
      </c>
      <c r="E724" t="s">
        <v>33</v>
      </c>
      <c r="F724" t="s">
        <v>308</v>
      </c>
      <c r="G724">
        <v>5277.06</v>
      </c>
      <c r="H724">
        <v>820.44</v>
      </c>
      <c r="I724">
        <v>6</v>
      </c>
      <c r="J724" t="str">
        <f>TEXT(SalesData[[#This Row],[Order Date]],"mmm")</f>
        <v>Sep</v>
      </c>
      <c r="K724">
        <f>YEAR(SalesData[[#This Row],[Order Date]])</f>
        <v>2025</v>
      </c>
      <c r="L724" s="3">
        <f>SalesData[[#This Row],[Profit]]/SalesData[[#This Row],[Sales]]</f>
        <v>0.15547293379268001</v>
      </c>
    </row>
    <row r="725" spans="1:12">
      <c r="A725" t="s">
        <v>1200</v>
      </c>
      <c r="B725" s="2">
        <v>45806</v>
      </c>
      <c r="C725" t="s">
        <v>1201</v>
      </c>
      <c r="D725" t="s">
        <v>19</v>
      </c>
      <c r="E725" t="s">
        <v>37</v>
      </c>
      <c r="F725" t="s">
        <v>155</v>
      </c>
      <c r="G725">
        <v>151.26</v>
      </c>
      <c r="H725">
        <v>15.42</v>
      </c>
      <c r="I725">
        <v>6</v>
      </c>
      <c r="J725" t="str">
        <f>TEXT(SalesData[[#This Row],[Order Date]],"mmm")</f>
        <v>May</v>
      </c>
      <c r="K725">
        <f>YEAR(SalesData[[#This Row],[Order Date]])</f>
        <v>2025</v>
      </c>
      <c r="L725" s="3">
        <f>SalesData[[#This Row],[Profit]]/SalesData[[#This Row],[Sales]]</f>
        <v>0.10194367314557716</v>
      </c>
    </row>
    <row r="726" spans="1:12">
      <c r="A726" t="s">
        <v>1202</v>
      </c>
      <c r="B726" s="2">
        <v>46002</v>
      </c>
      <c r="C726" t="s">
        <v>125</v>
      </c>
      <c r="D726" t="s">
        <v>28</v>
      </c>
      <c r="E726" t="s">
        <v>33</v>
      </c>
      <c r="F726" t="s">
        <v>52</v>
      </c>
      <c r="G726">
        <v>199.26</v>
      </c>
      <c r="H726">
        <v>35.950000000000003</v>
      </c>
      <c r="I726">
        <v>1</v>
      </c>
      <c r="J726" t="str">
        <f>TEXT(SalesData[[#This Row],[Order Date]],"mmm")</f>
        <v>Dec</v>
      </c>
      <c r="K726">
        <f>YEAR(SalesData[[#This Row],[Order Date]])</f>
        <v>2025</v>
      </c>
      <c r="L726" s="3">
        <f>SalesData[[#This Row],[Profit]]/SalesData[[#This Row],[Sales]]</f>
        <v>0.18041754491618991</v>
      </c>
    </row>
    <row r="727" spans="1:12">
      <c r="A727" t="s">
        <v>1203</v>
      </c>
      <c r="B727" s="2">
        <v>45744</v>
      </c>
      <c r="C727" t="s">
        <v>509</v>
      </c>
      <c r="D727" t="s">
        <v>19</v>
      </c>
      <c r="E727" t="s">
        <v>24</v>
      </c>
      <c r="F727" t="s">
        <v>55</v>
      </c>
      <c r="G727">
        <v>242.04</v>
      </c>
      <c r="H727">
        <v>64.78</v>
      </c>
      <c r="I727">
        <v>4</v>
      </c>
      <c r="J727" t="str">
        <f>TEXT(SalesData[[#This Row],[Order Date]],"mmm")</f>
        <v>Mar</v>
      </c>
      <c r="K727">
        <f>YEAR(SalesData[[#This Row],[Order Date]])</f>
        <v>2025</v>
      </c>
      <c r="L727" s="3">
        <f>SalesData[[#This Row],[Profit]]/SalesData[[#This Row],[Sales]]</f>
        <v>0.26764171211370025</v>
      </c>
    </row>
    <row r="728" spans="1:12">
      <c r="A728" t="s">
        <v>1204</v>
      </c>
      <c r="B728" s="2">
        <v>45800</v>
      </c>
      <c r="C728" t="s">
        <v>303</v>
      </c>
      <c r="D728" t="s">
        <v>23</v>
      </c>
      <c r="E728" t="s">
        <v>24</v>
      </c>
      <c r="F728" t="s">
        <v>88</v>
      </c>
      <c r="G728">
        <v>531.05999999999995</v>
      </c>
      <c r="H728">
        <v>117.17</v>
      </c>
      <c r="I728">
        <v>3</v>
      </c>
      <c r="J728" t="str">
        <f>TEXT(SalesData[[#This Row],[Order Date]],"mmm")</f>
        <v>May</v>
      </c>
      <c r="K728">
        <f>YEAR(SalesData[[#This Row],[Order Date]])</f>
        <v>2025</v>
      </c>
      <c r="L728" s="3">
        <f>SalesData[[#This Row],[Profit]]/SalesData[[#This Row],[Sales]]</f>
        <v>0.22063420329153016</v>
      </c>
    </row>
    <row r="729" spans="1:12">
      <c r="A729" t="s">
        <v>1205</v>
      </c>
      <c r="B729" s="2">
        <v>45906</v>
      </c>
      <c r="C729" t="s">
        <v>101</v>
      </c>
      <c r="D729" t="s">
        <v>19</v>
      </c>
      <c r="E729" t="s">
        <v>41</v>
      </c>
      <c r="F729" t="s">
        <v>42</v>
      </c>
      <c r="G729">
        <v>81.41</v>
      </c>
      <c r="H729">
        <v>18.260000000000002</v>
      </c>
      <c r="I729">
        <v>1</v>
      </c>
      <c r="J729" t="str">
        <f>TEXT(SalesData[[#This Row],[Order Date]],"mmm")</f>
        <v>Sep</v>
      </c>
      <c r="K729">
        <f>YEAR(SalesData[[#This Row],[Order Date]])</f>
        <v>2025</v>
      </c>
      <c r="L729" s="3">
        <f>SalesData[[#This Row],[Profit]]/SalesData[[#This Row],[Sales]]</f>
        <v>0.22429676943864393</v>
      </c>
    </row>
    <row r="730" spans="1:12">
      <c r="A730" t="s">
        <v>1206</v>
      </c>
      <c r="B730" s="2">
        <v>45726</v>
      </c>
      <c r="C730" t="s">
        <v>1195</v>
      </c>
      <c r="D730" t="s">
        <v>32</v>
      </c>
      <c r="E730" t="s">
        <v>41</v>
      </c>
      <c r="F730" t="s">
        <v>71</v>
      </c>
      <c r="G730">
        <v>186.12</v>
      </c>
      <c r="H730">
        <v>26.95</v>
      </c>
      <c r="I730">
        <v>6</v>
      </c>
      <c r="J730" t="str">
        <f>TEXT(SalesData[[#This Row],[Order Date]],"mmm")</f>
        <v>Mar</v>
      </c>
      <c r="K730">
        <f>YEAR(SalesData[[#This Row],[Order Date]])</f>
        <v>2025</v>
      </c>
      <c r="L730" s="3">
        <f>SalesData[[#This Row],[Profit]]/SalesData[[#This Row],[Sales]]</f>
        <v>0.14479905437352245</v>
      </c>
    </row>
    <row r="731" spans="1:12">
      <c r="A731" t="s">
        <v>1207</v>
      </c>
      <c r="B731" s="2">
        <v>45825</v>
      </c>
      <c r="C731" t="s">
        <v>399</v>
      </c>
      <c r="D731" t="s">
        <v>23</v>
      </c>
      <c r="E731" t="s">
        <v>41</v>
      </c>
      <c r="F731" t="s">
        <v>42</v>
      </c>
      <c r="G731">
        <v>1164.6600000000001</v>
      </c>
      <c r="H731">
        <v>339.96</v>
      </c>
      <c r="I731">
        <v>6</v>
      </c>
      <c r="J731" t="str">
        <f>TEXT(SalesData[[#This Row],[Order Date]],"mmm")</f>
        <v>Jun</v>
      </c>
      <c r="K731">
        <f>YEAR(SalesData[[#This Row],[Order Date]])</f>
        <v>2025</v>
      </c>
      <c r="L731" s="3">
        <f>SalesData[[#This Row],[Profit]]/SalesData[[#This Row],[Sales]]</f>
        <v>0.29189634743186849</v>
      </c>
    </row>
    <row r="732" spans="1:12">
      <c r="A732" t="s">
        <v>1208</v>
      </c>
      <c r="B732" s="2">
        <v>45761</v>
      </c>
      <c r="C732" t="s">
        <v>266</v>
      </c>
      <c r="D732" t="s">
        <v>28</v>
      </c>
      <c r="E732" t="s">
        <v>33</v>
      </c>
      <c r="F732" t="s">
        <v>34</v>
      </c>
      <c r="G732">
        <v>2208.4499999999998</v>
      </c>
      <c r="H732">
        <v>-189.81</v>
      </c>
      <c r="I732">
        <v>3</v>
      </c>
      <c r="J732" t="str">
        <f>TEXT(SalesData[[#This Row],[Order Date]],"mmm")</f>
        <v>Apr</v>
      </c>
      <c r="K732">
        <f>YEAR(SalesData[[#This Row],[Order Date]])</f>
        <v>2025</v>
      </c>
      <c r="L732" s="3">
        <f>SalesData[[#This Row],[Profit]]/SalesData[[#This Row],[Sales]]</f>
        <v>-8.594715750865993E-2</v>
      </c>
    </row>
    <row r="733" spans="1:12">
      <c r="A733" t="s">
        <v>1209</v>
      </c>
      <c r="B733" s="2">
        <v>45674</v>
      </c>
      <c r="C733" t="s">
        <v>1091</v>
      </c>
      <c r="D733" t="s">
        <v>28</v>
      </c>
      <c r="E733" t="s">
        <v>33</v>
      </c>
      <c r="F733" t="s">
        <v>63</v>
      </c>
      <c r="G733">
        <v>1741.2</v>
      </c>
      <c r="H733">
        <v>149.02000000000001</v>
      </c>
      <c r="I733">
        <v>4</v>
      </c>
      <c r="J733" t="str">
        <f>TEXT(SalesData[[#This Row],[Order Date]],"mmm")</f>
        <v>Jan</v>
      </c>
      <c r="K733">
        <f>YEAR(SalesData[[#This Row],[Order Date]])</f>
        <v>2025</v>
      </c>
      <c r="L733" s="3">
        <f>SalesData[[#This Row],[Profit]]/SalesData[[#This Row],[Sales]]</f>
        <v>8.5584654261428902E-2</v>
      </c>
    </row>
    <row r="734" spans="1:12">
      <c r="A734" t="s">
        <v>1210</v>
      </c>
      <c r="B734" s="2">
        <v>45813</v>
      </c>
      <c r="C734" t="s">
        <v>1133</v>
      </c>
      <c r="D734" t="s">
        <v>28</v>
      </c>
      <c r="E734" t="s">
        <v>24</v>
      </c>
      <c r="F734" t="s">
        <v>97</v>
      </c>
      <c r="G734">
        <v>890.4</v>
      </c>
      <c r="H734">
        <v>225.1</v>
      </c>
      <c r="I734">
        <v>6</v>
      </c>
      <c r="J734" t="str">
        <f>TEXT(SalesData[[#This Row],[Order Date]],"mmm")</f>
        <v>Jun</v>
      </c>
      <c r="K734">
        <f>YEAR(SalesData[[#This Row],[Order Date]])</f>
        <v>2025</v>
      </c>
      <c r="L734" s="3">
        <f>SalesData[[#This Row],[Profit]]/SalesData[[#This Row],[Sales]]</f>
        <v>0.25280772686433062</v>
      </c>
    </row>
    <row r="735" spans="1:12">
      <c r="A735" t="s">
        <v>1211</v>
      </c>
      <c r="B735" s="2">
        <v>45909</v>
      </c>
      <c r="C735" t="s">
        <v>57</v>
      </c>
      <c r="D735" t="s">
        <v>23</v>
      </c>
      <c r="E735" t="s">
        <v>33</v>
      </c>
      <c r="F735" t="s">
        <v>63</v>
      </c>
      <c r="G735">
        <v>3873.7</v>
      </c>
      <c r="H735">
        <v>643.55999999999995</v>
      </c>
      <c r="I735">
        <v>5</v>
      </c>
      <c r="J735" t="str">
        <f>TEXT(SalesData[[#This Row],[Order Date]],"mmm")</f>
        <v>Sep</v>
      </c>
      <c r="K735">
        <f>YEAR(SalesData[[#This Row],[Order Date]])</f>
        <v>2025</v>
      </c>
      <c r="L735" s="3">
        <f>SalesData[[#This Row],[Profit]]/SalesData[[#This Row],[Sales]]</f>
        <v>0.16613573585977232</v>
      </c>
    </row>
    <row r="736" spans="1:12">
      <c r="A736" t="s">
        <v>1212</v>
      </c>
      <c r="B736" s="2">
        <v>45911</v>
      </c>
      <c r="C736" t="s">
        <v>1213</v>
      </c>
      <c r="D736" t="s">
        <v>23</v>
      </c>
      <c r="E736" t="s">
        <v>41</v>
      </c>
      <c r="F736" t="s">
        <v>58</v>
      </c>
      <c r="G736">
        <v>116.46</v>
      </c>
      <c r="H736">
        <v>28.84</v>
      </c>
      <c r="I736">
        <v>3</v>
      </c>
      <c r="J736" t="str">
        <f>TEXT(SalesData[[#This Row],[Order Date]],"mmm")</f>
        <v>Sep</v>
      </c>
      <c r="K736">
        <f>YEAR(SalesData[[#This Row],[Order Date]])</f>
        <v>2025</v>
      </c>
      <c r="L736" s="3">
        <f>SalesData[[#This Row],[Profit]]/SalesData[[#This Row],[Sales]]</f>
        <v>0.24763867422290917</v>
      </c>
    </row>
    <row r="737" spans="1:12">
      <c r="A737" t="s">
        <v>1214</v>
      </c>
      <c r="B737" s="2">
        <v>45845</v>
      </c>
      <c r="C737" t="s">
        <v>247</v>
      </c>
      <c r="D737" t="s">
        <v>32</v>
      </c>
      <c r="E737" t="s">
        <v>41</v>
      </c>
      <c r="F737" t="s">
        <v>58</v>
      </c>
      <c r="G737">
        <v>187.6</v>
      </c>
      <c r="H737">
        <v>34.950000000000003</v>
      </c>
      <c r="I737">
        <v>4</v>
      </c>
      <c r="J737" t="str">
        <f>TEXT(SalesData[[#This Row],[Order Date]],"mmm")</f>
        <v>Jul</v>
      </c>
      <c r="K737">
        <f>YEAR(SalesData[[#This Row],[Order Date]])</f>
        <v>2025</v>
      </c>
      <c r="L737" s="3">
        <f>SalesData[[#This Row],[Profit]]/SalesData[[#This Row],[Sales]]</f>
        <v>0.18630063965884863</v>
      </c>
    </row>
    <row r="738" spans="1:12">
      <c r="A738" t="s">
        <v>1215</v>
      </c>
      <c r="B738" s="2">
        <v>45837</v>
      </c>
      <c r="C738" t="s">
        <v>75</v>
      </c>
      <c r="D738" t="s">
        <v>19</v>
      </c>
      <c r="E738" t="s">
        <v>15</v>
      </c>
      <c r="F738" t="s">
        <v>29</v>
      </c>
      <c r="G738">
        <v>35.6</v>
      </c>
      <c r="H738">
        <v>5.45</v>
      </c>
      <c r="I738">
        <v>5</v>
      </c>
      <c r="J738" t="str">
        <f>TEXT(SalesData[[#This Row],[Order Date]],"mmm")</f>
        <v>Jun</v>
      </c>
      <c r="K738">
        <f>YEAR(SalesData[[#This Row],[Order Date]])</f>
        <v>2025</v>
      </c>
      <c r="L738" s="3">
        <f>SalesData[[#This Row],[Profit]]/SalesData[[#This Row],[Sales]]</f>
        <v>0.15308988764044942</v>
      </c>
    </row>
    <row r="739" spans="1:12">
      <c r="A739" t="s">
        <v>1216</v>
      </c>
      <c r="B739" s="2">
        <v>45716</v>
      </c>
      <c r="C739" t="s">
        <v>316</v>
      </c>
      <c r="D739" t="s">
        <v>32</v>
      </c>
      <c r="E739" t="s">
        <v>33</v>
      </c>
      <c r="F739" t="s">
        <v>52</v>
      </c>
      <c r="G739">
        <v>2422.7199999999998</v>
      </c>
      <c r="H739">
        <v>367.82</v>
      </c>
      <c r="I739">
        <v>4</v>
      </c>
      <c r="J739" t="str">
        <f>TEXT(SalesData[[#This Row],[Order Date]],"mmm")</f>
        <v>Feb</v>
      </c>
      <c r="K739">
        <f>YEAR(SalesData[[#This Row],[Order Date]])</f>
        <v>2025</v>
      </c>
      <c r="L739" s="3">
        <f>SalesData[[#This Row],[Profit]]/SalesData[[#This Row],[Sales]]</f>
        <v>0.15182109364681021</v>
      </c>
    </row>
    <row r="740" spans="1:12">
      <c r="A740" t="s">
        <v>1217</v>
      </c>
      <c r="B740" s="2">
        <v>45873</v>
      </c>
      <c r="C740" t="s">
        <v>1218</v>
      </c>
      <c r="D740" t="s">
        <v>28</v>
      </c>
      <c r="E740" t="s">
        <v>33</v>
      </c>
      <c r="F740" t="s">
        <v>308</v>
      </c>
      <c r="G740">
        <v>2122</v>
      </c>
      <c r="H740">
        <v>286.07</v>
      </c>
      <c r="I740">
        <v>4</v>
      </c>
      <c r="J740" t="str">
        <f>TEXT(SalesData[[#This Row],[Order Date]],"mmm")</f>
        <v>Aug</v>
      </c>
      <c r="K740">
        <f>YEAR(SalesData[[#This Row],[Order Date]])</f>
        <v>2025</v>
      </c>
      <c r="L740" s="3">
        <f>SalesData[[#This Row],[Profit]]/SalesData[[#This Row],[Sales]]</f>
        <v>0.13481149858623939</v>
      </c>
    </row>
    <row r="741" spans="1:12">
      <c r="A741" t="s">
        <v>1219</v>
      </c>
      <c r="B741" s="2">
        <v>45908</v>
      </c>
      <c r="C741" t="s">
        <v>633</v>
      </c>
      <c r="D741" t="s">
        <v>14</v>
      </c>
      <c r="E741" t="s">
        <v>33</v>
      </c>
      <c r="F741" t="s">
        <v>308</v>
      </c>
      <c r="G741">
        <v>1137.5</v>
      </c>
      <c r="H741">
        <v>161.26</v>
      </c>
      <c r="I741">
        <v>2</v>
      </c>
      <c r="J741" t="str">
        <f>TEXT(SalesData[[#This Row],[Order Date]],"mmm")</f>
        <v>Sep</v>
      </c>
      <c r="K741">
        <f>YEAR(SalesData[[#This Row],[Order Date]])</f>
        <v>2025</v>
      </c>
      <c r="L741" s="3">
        <f>SalesData[[#This Row],[Profit]]/SalesData[[#This Row],[Sales]]</f>
        <v>0.14176703296703297</v>
      </c>
    </row>
    <row r="742" spans="1:12">
      <c r="A742" t="s">
        <v>1220</v>
      </c>
      <c r="B742" s="2">
        <v>45912</v>
      </c>
      <c r="C742" t="s">
        <v>1221</v>
      </c>
      <c r="D742" t="s">
        <v>23</v>
      </c>
      <c r="E742" t="s">
        <v>15</v>
      </c>
      <c r="F742" t="s">
        <v>29</v>
      </c>
      <c r="G742">
        <v>12.43</v>
      </c>
      <c r="H742">
        <v>1.69</v>
      </c>
      <c r="I742">
        <v>1</v>
      </c>
      <c r="J742" t="str">
        <f>TEXT(SalesData[[#This Row],[Order Date]],"mmm")</f>
        <v>Sep</v>
      </c>
      <c r="K742">
        <f>YEAR(SalesData[[#This Row],[Order Date]])</f>
        <v>2025</v>
      </c>
      <c r="L742" s="3">
        <f>SalesData[[#This Row],[Profit]]/SalesData[[#This Row],[Sales]]</f>
        <v>0.13596138374899436</v>
      </c>
    </row>
    <row r="743" spans="1:12">
      <c r="A743" t="s">
        <v>1222</v>
      </c>
      <c r="B743" s="2">
        <v>45977</v>
      </c>
      <c r="C743" t="s">
        <v>240</v>
      </c>
      <c r="D743" t="s">
        <v>23</v>
      </c>
      <c r="E743" t="s">
        <v>15</v>
      </c>
      <c r="F743" t="s">
        <v>29</v>
      </c>
      <c r="G743">
        <v>26.86</v>
      </c>
      <c r="H743">
        <v>3.26</v>
      </c>
      <c r="I743">
        <v>3</v>
      </c>
      <c r="J743" t="str">
        <f>TEXT(SalesData[[#This Row],[Order Date]],"mmm")</f>
        <v>Nov</v>
      </c>
      <c r="K743">
        <f>YEAR(SalesData[[#This Row],[Order Date]])</f>
        <v>2025</v>
      </c>
      <c r="L743" s="3">
        <f>SalesData[[#This Row],[Profit]]/SalesData[[#This Row],[Sales]]</f>
        <v>0.12137006701414743</v>
      </c>
    </row>
    <row r="744" spans="1:12">
      <c r="A744" t="s">
        <v>1223</v>
      </c>
      <c r="B744" s="2">
        <v>45697</v>
      </c>
      <c r="C744" t="s">
        <v>1224</v>
      </c>
      <c r="D744" t="s">
        <v>23</v>
      </c>
      <c r="E744" t="s">
        <v>41</v>
      </c>
      <c r="F744" t="s">
        <v>71</v>
      </c>
      <c r="G744">
        <v>878.94</v>
      </c>
      <c r="H744">
        <v>131.86000000000001</v>
      </c>
      <c r="I744">
        <v>6</v>
      </c>
      <c r="J744" t="str">
        <f>TEXT(SalesData[[#This Row],[Order Date]],"mmm")</f>
        <v>Feb</v>
      </c>
      <c r="K744">
        <f>YEAR(SalesData[[#This Row],[Order Date]])</f>
        <v>2025</v>
      </c>
      <c r="L744" s="3">
        <f>SalesData[[#This Row],[Profit]]/SalesData[[#This Row],[Sales]]</f>
        <v>0.15002161694768698</v>
      </c>
    </row>
    <row r="745" spans="1:12">
      <c r="A745" t="s">
        <v>1225</v>
      </c>
      <c r="B745" s="2">
        <v>45977</v>
      </c>
      <c r="C745" t="s">
        <v>1226</v>
      </c>
      <c r="D745" t="s">
        <v>23</v>
      </c>
      <c r="E745" t="s">
        <v>15</v>
      </c>
      <c r="F745" t="s">
        <v>82</v>
      </c>
      <c r="G745">
        <v>184.09</v>
      </c>
      <c r="H745">
        <v>25.13</v>
      </c>
      <c r="I745">
        <v>6</v>
      </c>
      <c r="J745" t="str">
        <f>TEXT(SalesData[[#This Row],[Order Date]],"mmm")</f>
        <v>Nov</v>
      </c>
      <c r="K745">
        <f>YEAR(SalesData[[#This Row],[Order Date]])</f>
        <v>2025</v>
      </c>
      <c r="L745" s="3">
        <f>SalesData[[#This Row],[Profit]]/SalesData[[#This Row],[Sales]]</f>
        <v>0.13650931609538811</v>
      </c>
    </row>
    <row r="746" spans="1:12">
      <c r="A746" t="s">
        <v>1227</v>
      </c>
      <c r="B746" s="2">
        <v>45897</v>
      </c>
      <c r="C746" t="s">
        <v>856</v>
      </c>
      <c r="D746" t="s">
        <v>23</v>
      </c>
      <c r="E746" t="s">
        <v>37</v>
      </c>
      <c r="F746" t="s">
        <v>155</v>
      </c>
      <c r="G746">
        <v>224.8</v>
      </c>
      <c r="H746">
        <v>24.5</v>
      </c>
      <c r="I746">
        <v>5</v>
      </c>
      <c r="J746" t="str">
        <f>TEXT(SalesData[[#This Row],[Order Date]],"mmm")</f>
        <v>Aug</v>
      </c>
      <c r="K746">
        <f>YEAR(SalesData[[#This Row],[Order Date]])</f>
        <v>2025</v>
      </c>
      <c r="L746" s="3">
        <f>SalesData[[#This Row],[Profit]]/SalesData[[#This Row],[Sales]]</f>
        <v>0.10898576512455516</v>
      </c>
    </row>
    <row r="747" spans="1:12">
      <c r="A747" t="s">
        <v>1228</v>
      </c>
      <c r="B747" s="2">
        <v>45894</v>
      </c>
      <c r="C747" t="s">
        <v>1229</v>
      </c>
      <c r="D747" t="s">
        <v>19</v>
      </c>
      <c r="E747" t="s">
        <v>41</v>
      </c>
      <c r="F747" t="s">
        <v>58</v>
      </c>
      <c r="G747">
        <v>469.24</v>
      </c>
      <c r="H747">
        <v>147.83000000000001</v>
      </c>
      <c r="I747">
        <v>4</v>
      </c>
      <c r="J747" t="str">
        <f>TEXT(SalesData[[#This Row],[Order Date]],"mmm")</f>
        <v>Aug</v>
      </c>
      <c r="K747">
        <f>YEAR(SalesData[[#This Row],[Order Date]])</f>
        <v>2025</v>
      </c>
      <c r="L747" s="3">
        <f>SalesData[[#This Row],[Profit]]/SalesData[[#This Row],[Sales]]</f>
        <v>0.31504134344898133</v>
      </c>
    </row>
    <row r="748" spans="1:12">
      <c r="A748" t="s">
        <v>1230</v>
      </c>
      <c r="B748" s="2">
        <v>45982</v>
      </c>
      <c r="C748" t="s">
        <v>432</v>
      </c>
      <c r="D748" t="s">
        <v>14</v>
      </c>
      <c r="E748" t="s">
        <v>41</v>
      </c>
      <c r="F748" t="s">
        <v>158</v>
      </c>
      <c r="G748">
        <v>630.64</v>
      </c>
      <c r="H748">
        <v>100.66</v>
      </c>
      <c r="I748">
        <v>3</v>
      </c>
      <c r="J748" t="str">
        <f>TEXT(SalesData[[#This Row],[Order Date]],"mmm")</f>
        <v>Nov</v>
      </c>
      <c r="K748">
        <f>YEAR(SalesData[[#This Row],[Order Date]])</f>
        <v>2025</v>
      </c>
      <c r="L748" s="3">
        <f>SalesData[[#This Row],[Profit]]/SalesData[[#This Row],[Sales]]</f>
        <v>0.15961562856780415</v>
      </c>
    </row>
    <row r="749" spans="1:12">
      <c r="A749" t="s">
        <v>1231</v>
      </c>
      <c r="B749" s="2">
        <v>45672</v>
      </c>
      <c r="C749" t="s">
        <v>638</v>
      </c>
      <c r="D749" t="s">
        <v>28</v>
      </c>
      <c r="E749" t="s">
        <v>33</v>
      </c>
      <c r="F749" t="s">
        <v>63</v>
      </c>
      <c r="G749">
        <v>2385.4</v>
      </c>
      <c r="H749">
        <v>205.84</v>
      </c>
      <c r="I749">
        <v>4</v>
      </c>
      <c r="J749" t="str">
        <f>TEXT(SalesData[[#This Row],[Order Date]],"mmm")</f>
        <v>Jan</v>
      </c>
      <c r="K749">
        <f>YEAR(SalesData[[#This Row],[Order Date]])</f>
        <v>2025</v>
      </c>
      <c r="L749" s="3">
        <f>SalesData[[#This Row],[Profit]]/SalesData[[#This Row],[Sales]]</f>
        <v>8.6291607277605431E-2</v>
      </c>
    </row>
    <row r="750" spans="1:12">
      <c r="A750" t="s">
        <v>1232</v>
      </c>
      <c r="B750" s="2">
        <v>45727</v>
      </c>
      <c r="C750" t="s">
        <v>521</v>
      </c>
      <c r="D750" t="s">
        <v>14</v>
      </c>
      <c r="E750" t="s">
        <v>41</v>
      </c>
      <c r="F750" t="s">
        <v>158</v>
      </c>
      <c r="G750">
        <v>1300.92</v>
      </c>
      <c r="H750">
        <v>443.54</v>
      </c>
      <c r="I750">
        <v>6</v>
      </c>
      <c r="J750" t="str">
        <f>TEXT(SalesData[[#This Row],[Order Date]],"mmm")</f>
        <v>Mar</v>
      </c>
      <c r="K750">
        <f>YEAR(SalesData[[#This Row],[Order Date]])</f>
        <v>2025</v>
      </c>
      <c r="L750" s="3">
        <f>SalesData[[#This Row],[Profit]]/SalesData[[#This Row],[Sales]]</f>
        <v>0.34094333241090918</v>
      </c>
    </row>
    <row r="751" spans="1:12">
      <c r="A751" t="s">
        <v>1233</v>
      </c>
      <c r="B751" s="2">
        <v>45668</v>
      </c>
      <c r="C751" t="s">
        <v>655</v>
      </c>
      <c r="D751" t="s">
        <v>14</v>
      </c>
      <c r="E751" t="s">
        <v>41</v>
      </c>
      <c r="F751" t="s">
        <v>42</v>
      </c>
      <c r="G751">
        <v>907.08</v>
      </c>
      <c r="H751">
        <v>243.02</v>
      </c>
      <c r="I751">
        <v>4</v>
      </c>
      <c r="J751" t="str">
        <f>TEXT(SalesData[[#This Row],[Order Date]],"mmm")</f>
        <v>Jan</v>
      </c>
      <c r="K751">
        <f>YEAR(SalesData[[#This Row],[Order Date]])</f>
        <v>2025</v>
      </c>
      <c r="L751" s="3">
        <f>SalesData[[#This Row],[Profit]]/SalesData[[#This Row],[Sales]]</f>
        <v>0.26791462715526743</v>
      </c>
    </row>
    <row r="752" spans="1:12">
      <c r="A752" t="s">
        <v>1234</v>
      </c>
      <c r="B752" s="2">
        <v>45861</v>
      </c>
      <c r="C752" t="s">
        <v>551</v>
      </c>
      <c r="D752" t="s">
        <v>19</v>
      </c>
      <c r="E752" t="s">
        <v>15</v>
      </c>
      <c r="F752" t="s">
        <v>20</v>
      </c>
      <c r="G752">
        <v>18.05</v>
      </c>
      <c r="H752">
        <v>3.15</v>
      </c>
      <c r="I752">
        <v>1</v>
      </c>
      <c r="J752" t="str">
        <f>TEXT(SalesData[[#This Row],[Order Date]],"mmm")</f>
        <v>Jul</v>
      </c>
      <c r="K752">
        <f>YEAR(SalesData[[#This Row],[Order Date]])</f>
        <v>2025</v>
      </c>
      <c r="L752" s="3">
        <f>SalesData[[#This Row],[Profit]]/SalesData[[#This Row],[Sales]]</f>
        <v>0.17451523545706371</v>
      </c>
    </row>
    <row r="753" spans="1:12">
      <c r="A753" t="s">
        <v>1235</v>
      </c>
      <c r="B753" s="2">
        <v>45926</v>
      </c>
      <c r="C753" t="s">
        <v>742</v>
      </c>
      <c r="D753" t="s">
        <v>32</v>
      </c>
      <c r="E753" t="s">
        <v>15</v>
      </c>
      <c r="F753" t="s">
        <v>82</v>
      </c>
      <c r="G753">
        <v>39.69</v>
      </c>
      <c r="H753">
        <v>5.46</v>
      </c>
      <c r="I753">
        <v>3</v>
      </c>
      <c r="J753" t="str">
        <f>TEXT(SalesData[[#This Row],[Order Date]],"mmm")</f>
        <v>Sep</v>
      </c>
      <c r="K753">
        <f>YEAR(SalesData[[#This Row],[Order Date]])</f>
        <v>2025</v>
      </c>
      <c r="L753" s="3">
        <f>SalesData[[#This Row],[Profit]]/SalesData[[#This Row],[Sales]]</f>
        <v>0.13756613756613759</v>
      </c>
    </row>
    <row r="754" spans="1:12">
      <c r="A754" t="s">
        <v>1236</v>
      </c>
      <c r="B754" s="2">
        <v>45778</v>
      </c>
      <c r="C754" t="s">
        <v>1237</v>
      </c>
      <c r="D754" t="s">
        <v>19</v>
      </c>
      <c r="E754" t="s">
        <v>15</v>
      </c>
      <c r="F754" t="s">
        <v>16</v>
      </c>
      <c r="G754">
        <v>58.5</v>
      </c>
      <c r="H754">
        <v>6.78</v>
      </c>
      <c r="I754">
        <v>2</v>
      </c>
      <c r="J754" t="str">
        <f>TEXT(SalesData[[#This Row],[Order Date]],"mmm")</f>
        <v>May</v>
      </c>
      <c r="K754">
        <f>YEAR(SalesData[[#This Row],[Order Date]])</f>
        <v>2025</v>
      </c>
      <c r="L754" s="3">
        <f>SalesData[[#This Row],[Profit]]/SalesData[[#This Row],[Sales]]</f>
        <v>0.1158974358974359</v>
      </c>
    </row>
    <row r="755" spans="1:12">
      <c r="A755" t="s">
        <v>1238</v>
      </c>
      <c r="B755" s="2">
        <v>45959</v>
      </c>
      <c r="C755" t="s">
        <v>350</v>
      </c>
      <c r="D755" t="s">
        <v>23</v>
      </c>
      <c r="E755" t="s">
        <v>24</v>
      </c>
      <c r="F755" t="s">
        <v>25</v>
      </c>
      <c r="G755">
        <v>600.29999999999995</v>
      </c>
      <c r="H755">
        <v>117.04</v>
      </c>
      <c r="I755">
        <v>3</v>
      </c>
      <c r="J755" t="str">
        <f>TEXT(SalesData[[#This Row],[Order Date]],"mmm")</f>
        <v>Oct</v>
      </c>
      <c r="K755">
        <f>YEAR(SalesData[[#This Row],[Order Date]])</f>
        <v>2025</v>
      </c>
      <c r="L755" s="3">
        <f>SalesData[[#This Row],[Profit]]/SalesData[[#This Row],[Sales]]</f>
        <v>0.19496918207562888</v>
      </c>
    </row>
    <row r="756" spans="1:12">
      <c r="A756" t="s">
        <v>1239</v>
      </c>
      <c r="B756" s="2">
        <v>45800</v>
      </c>
      <c r="C756" t="s">
        <v>111</v>
      </c>
      <c r="D756" t="s">
        <v>14</v>
      </c>
      <c r="E756" t="s">
        <v>33</v>
      </c>
      <c r="F756" t="s">
        <v>308</v>
      </c>
      <c r="G756">
        <v>174.36</v>
      </c>
      <c r="H756">
        <v>42.61</v>
      </c>
      <c r="I756">
        <v>3</v>
      </c>
      <c r="J756" t="str">
        <f>TEXT(SalesData[[#This Row],[Order Date]],"mmm")</f>
        <v>May</v>
      </c>
      <c r="K756">
        <f>YEAR(SalesData[[#This Row],[Order Date]])</f>
        <v>2025</v>
      </c>
      <c r="L756" s="3">
        <f>SalesData[[#This Row],[Profit]]/SalesData[[#This Row],[Sales]]</f>
        <v>0.24437944482679511</v>
      </c>
    </row>
    <row r="757" spans="1:12">
      <c r="A757" t="s">
        <v>1240</v>
      </c>
      <c r="B757" s="2">
        <v>45997</v>
      </c>
      <c r="C757" t="s">
        <v>242</v>
      </c>
      <c r="D757" t="s">
        <v>19</v>
      </c>
      <c r="E757" t="s">
        <v>24</v>
      </c>
      <c r="F757" t="s">
        <v>88</v>
      </c>
      <c r="G757">
        <v>907.37</v>
      </c>
      <c r="H757">
        <v>254.64</v>
      </c>
      <c r="I757">
        <v>3</v>
      </c>
      <c r="J757" t="str">
        <f>TEXT(SalesData[[#This Row],[Order Date]],"mmm")</f>
        <v>Dec</v>
      </c>
      <c r="K757">
        <f>YEAR(SalesData[[#This Row],[Order Date]])</f>
        <v>2025</v>
      </c>
      <c r="L757" s="3">
        <f>SalesData[[#This Row],[Profit]]/SalesData[[#This Row],[Sales]]</f>
        <v>0.28063524251407912</v>
      </c>
    </row>
    <row r="758" spans="1:12">
      <c r="A758" t="s">
        <v>1241</v>
      </c>
      <c r="B758" s="2">
        <v>45931</v>
      </c>
      <c r="C758" t="s">
        <v>117</v>
      </c>
      <c r="D758" t="s">
        <v>28</v>
      </c>
      <c r="E758" t="s">
        <v>24</v>
      </c>
      <c r="F758" t="s">
        <v>88</v>
      </c>
      <c r="G758">
        <v>357.87</v>
      </c>
      <c r="H758">
        <v>102.8</v>
      </c>
      <c r="I758">
        <v>3</v>
      </c>
      <c r="J758" t="str">
        <f>TEXT(SalesData[[#This Row],[Order Date]],"mmm")</f>
        <v>Oct</v>
      </c>
      <c r="K758">
        <f>YEAR(SalesData[[#This Row],[Order Date]])</f>
        <v>2025</v>
      </c>
      <c r="L758" s="3">
        <f>SalesData[[#This Row],[Profit]]/SalesData[[#This Row],[Sales]]</f>
        <v>0.28725514851761813</v>
      </c>
    </row>
    <row r="759" spans="1:12">
      <c r="A759" t="s">
        <v>1242</v>
      </c>
      <c r="B759" s="2">
        <v>45810</v>
      </c>
      <c r="C759" t="s">
        <v>1243</v>
      </c>
      <c r="D759" t="s">
        <v>28</v>
      </c>
      <c r="E759" t="s">
        <v>41</v>
      </c>
      <c r="F759" t="s">
        <v>71</v>
      </c>
      <c r="G759">
        <v>86.66</v>
      </c>
      <c r="H759">
        <v>10.4</v>
      </c>
      <c r="I759">
        <v>1</v>
      </c>
      <c r="J759" t="str">
        <f>TEXT(SalesData[[#This Row],[Order Date]],"mmm")</f>
        <v>Jun</v>
      </c>
      <c r="K759">
        <f>YEAR(SalesData[[#This Row],[Order Date]])</f>
        <v>2025</v>
      </c>
      <c r="L759" s="3">
        <f>SalesData[[#This Row],[Profit]]/SalesData[[#This Row],[Sales]]</f>
        <v>0.12000923147934457</v>
      </c>
    </row>
    <row r="760" spans="1:12">
      <c r="A760" t="s">
        <v>1244</v>
      </c>
      <c r="B760" s="2">
        <v>45909</v>
      </c>
      <c r="C760" t="s">
        <v>1100</v>
      </c>
      <c r="D760" t="s">
        <v>14</v>
      </c>
      <c r="E760" t="s">
        <v>41</v>
      </c>
      <c r="F760" t="s">
        <v>42</v>
      </c>
      <c r="G760">
        <v>364.32</v>
      </c>
      <c r="H760">
        <v>82.55</v>
      </c>
      <c r="I760">
        <v>2</v>
      </c>
      <c r="J760" t="str">
        <f>TEXT(SalesData[[#This Row],[Order Date]],"mmm")</f>
        <v>Sep</v>
      </c>
      <c r="K760">
        <f>YEAR(SalesData[[#This Row],[Order Date]])</f>
        <v>2025</v>
      </c>
      <c r="L760" s="3">
        <f>SalesData[[#This Row],[Profit]]/SalesData[[#This Row],[Sales]]</f>
        <v>0.22658651734738691</v>
      </c>
    </row>
    <row r="761" spans="1:12">
      <c r="A761" t="s">
        <v>1245</v>
      </c>
      <c r="B761" s="2">
        <v>45966</v>
      </c>
      <c r="C761" t="s">
        <v>105</v>
      </c>
      <c r="D761" t="s">
        <v>14</v>
      </c>
      <c r="E761" t="s">
        <v>33</v>
      </c>
      <c r="F761" t="s">
        <v>52</v>
      </c>
      <c r="G761">
        <v>683.35</v>
      </c>
      <c r="H761">
        <v>106.18</v>
      </c>
      <c r="I761">
        <v>1</v>
      </c>
      <c r="J761" t="str">
        <f>TEXT(SalesData[[#This Row],[Order Date]],"mmm")</f>
        <v>Nov</v>
      </c>
      <c r="K761">
        <f>YEAR(SalesData[[#This Row],[Order Date]])</f>
        <v>2025</v>
      </c>
      <c r="L761" s="3">
        <f>SalesData[[#This Row],[Profit]]/SalesData[[#This Row],[Sales]]</f>
        <v>0.15538157605912051</v>
      </c>
    </row>
    <row r="762" spans="1:12">
      <c r="A762" t="s">
        <v>1246</v>
      </c>
      <c r="B762" s="2">
        <v>45659</v>
      </c>
      <c r="C762" t="s">
        <v>1247</v>
      </c>
      <c r="D762" t="s">
        <v>14</v>
      </c>
      <c r="E762" t="s">
        <v>24</v>
      </c>
      <c r="F762" t="s">
        <v>25</v>
      </c>
      <c r="G762">
        <v>72.08</v>
      </c>
      <c r="H762">
        <v>14.65</v>
      </c>
      <c r="I762">
        <v>1</v>
      </c>
      <c r="J762" t="str">
        <f>TEXT(SalesData[[#This Row],[Order Date]],"mmm")</f>
        <v>Jan</v>
      </c>
      <c r="K762">
        <f>YEAR(SalesData[[#This Row],[Order Date]])</f>
        <v>2025</v>
      </c>
      <c r="L762" s="3">
        <f>SalesData[[#This Row],[Profit]]/SalesData[[#This Row],[Sales]]</f>
        <v>0.20324639289678137</v>
      </c>
    </row>
    <row r="763" spans="1:12">
      <c r="A763" t="s">
        <v>1248</v>
      </c>
      <c r="B763" s="2">
        <v>45990</v>
      </c>
      <c r="C763" t="s">
        <v>67</v>
      </c>
      <c r="D763" t="s">
        <v>23</v>
      </c>
      <c r="E763" t="s">
        <v>41</v>
      </c>
      <c r="F763" t="s">
        <v>58</v>
      </c>
      <c r="G763">
        <v>700.58</v>
      </c>
      <c r="H763">
        <v>115.71</v>
      </c>
      <c r="I763">
        <v>4</v>
      </c>
      <c r="J763" t="str">
        <f>TEXT(SalesData[[#This Row],[Order Date]],"mmm")</f>
        <v>Nov</v>
      </c>
      <c r="K763">
        <f>YEAR(SalesData[[#This Row],[Order Date]])</f>
        <v>2025</v>
      </c>
      <c r="L763" s="3">
        <f>SalesData[[#This Row],[Profit]]/SalesData[[#This Row],[Sales]]</f>
        <v>0.16516315053241598</v>
      </c>
    </row>
    <row r="764" spans="1:12">
      <c r="A764" t="s">
        <v>1249</v>
      </c>
      <c r="B764" s="2">
        <v>45825</v>
      </c>
      <c r="C764" t="s">
        <v>643</v>
      </c>
      <c r="D764" t="s">
        <v>19</v>
      </c>
      <c r="E764" t="s">
        <v>15</v>
      </c>
      <c r="F764" t="s">
        <v>29</v>
      </c>
      <c r="G764">
        <v>29.68</v>
      </c>
      <c r="H764">
        <v>3.16</v>
      </c>
      <c r="I764">
        <v>2</v>
      </c>
      <c r="J764" t="str">
        <f>TEXT(SalesData[[#This Row],[Order Date]],"mmm")</f>
        <v>Jun</v>
      </c>
      <c r="K764">
        <f>YEAR(SalesData[[#This Row],[Order Date]])</f>
        <v>2025</v>
      </c>
      <c r="L764" s="3">
        <f>SalesData[[#This Row],[Profit]]/SalesData[[#This Row],[Sales]]</f>
        <v>0.1064690026954178</v>
      </c>
    </row>
    <row r="765" spans="1:12">
      <c r="A765" t="s">
        <v>1250</v>
      </c>
      <c r="B765" s="2">
        <v>45950</v>
      </c>
      <c r="C765" t="s">
        <v>867</v>
      </c>
      <c r="D765" t="s">
        <v>32</v>
      </c>
      <c r="E765" t="s">
        <v>37</v>
      </c>
      <c r="F765" t="s">
        <v>194</v>
      </c>
      <c r="G765">
        <v>105.48</v>
      </c>
      <c r="H765">
        <v>11.96</v>
      </c>
      <c r="I765">
        <v>6</v>
      </c>
      <c r="J765" t="str">
        <f>TEXT(SalesData[[#This Row],[Order Date]],"mmm")</f>
        <v>Oct</v>
      </c>
      <c r="K765">
        <f>YEAR(SalesData[[#This Row],[Order Date]])</f>
        <v>2025</v>
      </c>
      <c r="L765" s="3">
        <f>SalesData[[#This Row],[Profit]]/SalesData[[#This Row],[Sales]]</f>
        <v>0.11338642396662875</v>
      </c>
    </row>
    <row r="766" spans="1:12">
      <c r="A766" t="s">
        <v>1251</v>
      </c>
      <c r="B766" s="2">
        <v>45792</v>
      </c>
      <c r="C766" t="s">
        <v>1252</v>
      </c>
      <c r="D766" t="s">
        <v>32</v>
      </c>
      <c r="E766" t="s">
        <v>24</v>
      </c>
      <c r="F766" t="s">
        <v>88</v>
      </c>
      <c r="G766">
        <v>529.25</v>
      </c>
      <c r="H766">
        <v>62.35</v>
      </c>
      <c r="I766">
        <v>5</v>
      </c>
      <c r="J766" t="str">
        <f>TEXT(SalesData[[#This Row],[Order Date]],"mmm")</f>
        <v>May</v>
      </c>
      <c r="K766">
        <f>YEAR(SalesData[[#This Row],[Order Date]])</f>
        <v>2025</v>
      </c>
      <c r="L766" s="3">
        <f>SalesData[[#This Row],[Profit]]/SalesData[[#This Row],[Sales]]</f>
        <v>0.11780821917808219</v>
      </c>
    </row>
    <row r="767" spans="1:12">
      <c r="A767" t="s">
        <v>1253</v>
      </c>
      <c r="B767" s="2">
        <v>45948</v>
      </c>
      <c r="C767" t="s">
        <v>13</v>
      </c>
      <c r="D767" t="s">
        <v>23</v>
      </c>
      <c r="E767" t="s">
        <v>24</v>
      </c>
      <c r="F767" t="s">
        <v>88</v>
      </c>
      <c r="G767">
        <v>1098.42</v>
      </c>
      <c r="H767">
        <v>159.16</v>
      </c>
      <c r="I767">
        <v>6</v>
      </c>
      <c r="J767" t="str">
        <f>TEXT(SalesData[[#This Row],[Order Date]],"mmm")</f>
        <v>Oct</v>
      </c>
      <c r="K767">
        <f>YEAR(SalesData[[#This Row],[Order Date]])</f>
        <v>2025</v>
      </c>
      <c r="L767" s="3">
        <f>SalesData[[#This Row],[Profit]]/SalesData[[#This Row],[Sales]]</f>
        <v>0.14489903679831029</v>
      </c>
    </row>
    <row r="768" spans="1:12">
      <c r="A768" t="s">
        <v>1254</v>
      </c>
      <c r="B768" s="2">
        <v>45794</v>
      </c>
      <c r="C768" t="s">
        <v>266</v>
      </c>
      <c r="D768" t="s">
        <v>28</v>
      </c>
      <c r="E768" t="s">
        <v>15</v>
      </c>
      <c r="F768" t="s">
        <v>16</v>
      </c>
      <c r="G768">
        <v>51.95</v>
      </c>
      <c r="H768">
        <v>9.02</v>
      </c>
      <c r="I768">
        <v>5</v>
      </c>
      <c r="J768" t="str">
        <f>TEXT(SalesData[[#This Row],[Order Date]],"mmm")</f>
        <v>May</v>
      </c>
      <c r="K768">
        <f>YEAR(SalesData[[#This Row],[Order Date]])</f>
        <v>2025</v>
      </c>
      <c r="L768" s="3">
        <f>SalesData[[#This Row],[Profit]]/SalesData[[#This Row],[Sales]]</f>
        <v>0.17362848893166505</v>
      </c>
    </row>
    <row r="769" spans="1:12">
      <c r="A769" t="s">
        <v>1255</v>
      </c>
      <c r="B769" s="2">
        <v>45754</v>
      </c>
      <c r="C769" t="s">
        <v>820</v>
      </c>
      <c r="D769" t="s">
        <v>28</v>
      </c>
      <c r="E769" t="s">
        <v>41</v>
      </c>
      <c r="F769" t="s">
        <v>42</v>
      </c>
      <c r="G769">
        <v>733.89</v>
      </c>
      <c r="H769">
        <v>116.59</v>
      </c>
      <c r="I769">
        <v>3</v>
      </c>
      <c r="J769" t="str">
        <f>TEXT(SalesData[[#This Row],[Order Date]],"mmm")</f>
        <v>Apr</v>
      </c>
      <c r="K769">
        <f>YEAR(SalesData[[#This Row],[Order Date]])</f>
        <v>2025</v>
      </c>
      <c r="L769" s="3">
        <f>SalesData[[#This Row],[Profit]]/SalesData[[#This Row],[Sales]]</f>
        <v>0.15886577007453434</v>
      </c>
    </row>
    <row r="770" spans="1:12">
      <c r="A770" t="s">
        <v>1256</v>
      </c>
      <c r="B770" s="2">
        <v>45785</v>
      </c>
      <c r="C770" t="s">
        <v>247</v>
      </c>
      <c r="D770" t="s">
        <v>28</v>
      </c>
      <c r="E770" t="s">
        <v>15</v>
      </c>
      <c r="F770" t="s">
        <v>109</v>
      </c>
      <c r="G770">
        <v>53.58</v>
      </c>
      <c r="H770">
        <v>10.51</v>
      </c>
      <c r="I770">
        <v>2</v>
      </c>
      <c r="J770" t="str">
        <f>TEXT(SalesData[[#This Row],[Order Date]],"mmm")</f>
        <v>May</v>
      </c>
      <c r="K770">
        <f>YEAR(SalesData[[#This Row],[Order Date]])</f>
        <v>2025</v>
      </c>
      <c r="L770" s="3">
        <f>SalesData[[#This Row],[Profit]]/SalesData[[#This Row],[Sales]]</f>
        <v>0.19615528182157521</v>
      </c>
    </row>
    <row r="771" spans="1:12">
      <c r="A771" t="s">
        <v>1257</v>
      </c>
      <c r="B771" s="2">
        <v>45766</v>
      </c>
      <c r="C771" t="s">
        <v>670</v>
      </c>
      <c r="D771" t="s">
        <v>28</v>
      </c>
      <c r="E771" t="s">
        <v>41</v>
      </c>
      <c r="F771" t="s">
        <v>58</v>
      </c>
      <c r="G771">
        <v>46.44</v>
      </c>
      <c r="H771">
        <v>5.33</v>
      </c>
      <c r="I771">
        <v>1</v>
      </c>
      <c r="J771" t="str">
        <f>TEXT(SalesData[[#This Row],[Order Date]],"mmm")</f>
        <v>Apr</v>
      </c>
      <c r="K771">
        <f>YEAR(SalesData[[#This Row],[Order Date]])</f>
        <v>2025</v>
      </c>
      <c r="L771" s="3">
        <f>SalesData[[#This Row],[Profit]]/SalesData[[#This Row],[Sales]]</f>
        <v>0.11477174849267874</v>
      </c>
    </row>
    <row r="772" spans="1:12">
      <c r="A772" t="s">
        <v>1258</v>
      </c>
      <c r="B772" s="2">
        <v>45778</v>
      </c>
      <c r="C772" t="s">
        <v>760</v>
      </c>
      <c r="D772" t="s">
        <v>23</v>
      </c>
      <c r="E772" t="s">
        <v>37</v>
      </c>
      <c r="F772" t="s">
        <v>194</v>
      </c>
      <c r="G772">
        <v>276.89999999999998</v>
      </c>
      <c r="H772">
        <v>29.58</v>
      </c>
      <c r="I772">
        <v>6</v>
      </c>
      <c r="J772" t="str">
        <f>TEXT(SalesData[[#This Row],[Order Date]],"mmm")</f>
        <v>May</v>
      </c>
      <c r="K772">
        <f>YEAR(SalesData[[#This Row],[Order Date]])</f>
        <v>2025</v>
      </c>
      <c r="L772" s="3">
        <f>SalesData[[#This Row],[Profit]]/SalesData[[#This Row],[Sales]]</f>
        <v>0.10682556879739978</v>
      </c>
    </row>
    <row r="773" spans="1:12">
      <c r="A773" t="s">
        <v>1259</v>
      </c>
      <c r="B773" s="2">
        <v>45975</v>
      </c>
      <c r="C773" t="s">
        <v>673</v>
      </c>
      <c r="D773" t="s">
        <v>28</v>
      </c>
      <c r="E773" t="s">
        <v>41</v>
      </c>
      <c r="F773" t="s">
        <v>158</v>
      </c>
      <c r="G773">
        <v>197.59</v>
      </c>
      <c r="H773">
        <v>28.15</v>
      </c>
      <c r="I773">
        <v>5</v>
      </c>
      <c r="J773" t="str">
        <f>TEXT(SalesData[[#This Row],[Order Date]],"mmm")</f>
        <v>Nov</v>
      </c>
      <c r="K773">
        <f>YEAR(SalesData[[#This Row],[Order Date]])</f>
        <v>2025</v>
      </c>
      <c r="L773" s="3">
        <f>SalesData[[#This Row],[Profit]]/SalesData[[#This Row],[Sales]]</f>
        <v>0.14246672402449514</v>
      </c>
    </row>
    <row r="774" spans="1:12">
      <c r="A774" t="s">
        <v>1260</v>
      </c>
      <c r="B774" s="2">
        <v>45831</v>
      </c>
      <c r="C774" t="s">
        <v>752</v>
      </c>
      <c r="D774" t="s">
        <v>19</v>
      </c>
      <c r="E774" t="s">
        <v>15</v>
      </c>
      <c r="F774" t="s">
        <v>20</v>
      </c>
      <c r="G774">
        <v>34.159999999999997</v>
      </c>
      <c r="H774">
        <v>2.31</v>
      </c>
      <c r="I774">
        <v>4</v>
      </c>
      <c r="J774" t="str">
        <f>TEXT(SalesData[[#This Row],[Order Date]],"mmm")</f>
        <v>Jun</v>
      </c>
      <c r="K774">
        <f>YEAR(SalesData[[#This Row],[Order Date]])</f>
        <v>2025</v>
      </c>
      <c r="L774" s="3">
        <f>SalesData[[#This Row],[Profit]]/SalesData[[#This Row],[Sales]]</f>
        <v>6.7622950819672137E-2</v>
      </c>
    </row>
    <row r="775" spans="1:12">
      <c r="A775" t="s">
        <v>1261</v>
      </c>
      <c r="B775" s="2">
        <v>45723</v>
      </c>
      <c r="C775" t="s">
        <v>371</v>
      </c>
      <c r="D775" t="s">
        <v>14</v>
      </c>
      <c r="E775" t="s">
        <v>37</v>
      </c>
      <c r="F775" t="s">
        <v>47</v>
      </c>
      <c r="G775">
        <v>116.13</v>
      </c>
      <c r="H775">
        <v>24.88</v>
      </c>
      <c r="I775">
        <v>3</v>
      </c>
      <c r="J775" t="str">
        <f>TEXT(SalesData[[#This Row],[Order Date]],"mmm")</f>
        <v>Mar</v>
      </c>
      <c r="K775">
        <f>YEAR(SalesData[[#This Row],[Order Date]])</f>
        <v>2025</v>
      </c>
      <c r="L775" s="3">
        <f>SalesData[[#This Row],[Profit]]/SalesData[[#This Row],[Sales]]</f>
        <v>0.21424265908895204</v>
      </c>
    </row>
    <row r="776" spans="1:12">
      <c r="A776" t="s">
        <v>1262</v>
      </c>
      <c r="B776" s="2">
        <v>45818</v>
      </c>
      <c r="C776" t="s">
        <v>820</v>
      </c>
      <c r="D776" t="s">
        <v>14</v>
      </c>
      <c r="E776" t="s">
        <v>41</v>
      </c>
      <c r="F776" t="s">
        <v>71</v>
      </c>
      <c r="G776">
        <v>300.06</v>
      </c>
      <c r="H776">
        <v>99.23</v>
      </c>
      <c r="I776">
        <v>2</v>
      </c>
      <c r="J776" t="str">
        <f>TEXT(SalesData[[#This Row],[Order Date]],"mmm")</f>
        <v>Jun</v>
      </c>
      <c r="K776">
        <f>YEAR(SalesData[[#This Row],[Order Date]])</f>
        <v>2025</v>
      </c>
      <c r="L776" s="3">
        <f>SalesData[[#This Row],[Profit]]/SalesData[[#This Row],[Sales]]</f>
        <v>0.3307005265613544</v>
      </c>
    </row>
    <row r="777" spans="1:12">
      <c r="A777" t="s">
        <v>1263</v>
      </c>
      <c r="B777" s="2">
        <v>45883</v>
      </c>
      <c r="C777" t="s">
        <v>1264</v>
      </c>
      <c r="D777" t="s">
        <v>19</v>
      </c>
      <c r="E777" t="s">
        <v>15</v>
      </c>
      <c r="F777" t="s">
        <v>16</v>
      </c>
      <c r="G777">
        <v>16.760000000000002</v>
      </c>
      <c r="H777">
        <v>1.25</v>
      </c>
      <c r="I777">
        <v>1</v>
      </c>
      <c r="J777" t="str">
        <f>TEXT(SalesData[[#This Row],[Order Date]],"mmm")</f>
        <v>Aug</v>
      </c>
      <c r="K777">
        <f>YEAR(SalesData[[#This Row],[Order Date]])</f>
        <v>2025</v>
      </c>
      <c r="L777" s="3">
        <f>SalesData[[#This Row],[Profit]]/SalesData[[#This Row],[Sales]]</f>
        <v>7.4582338902147965E-2</v>
      </c>
    </row>
    <row r="778" spans="1:12">
      <c r="A778" t="s">
        <v>1265</v>
      </c>
      <c r="B778" s="2">
        <v>45717</v>
      </c>
      <c r="C778" t="s">
        <v>682</v>
      </c>
      <c r="D778" t="s">
        <v>32</v>
      </c>
      <c r="E778" t="s">
        <v>24</v>
      </c>
      <c r="F778" t="s">
        <v>55</v>
      </c>
      <c r="G778">
        <v>684.24</v>
      </c>
      <c r="H778">
        <v>83.82</v>
      </c>
      <c r="I778">
        <v>4</v>
      </c>
      <c r="J778" t="str">
        <f>TEXT(SalesData[[#This Row],[Order Date]],"mmm")</f>
        <v>Mar</v>
      </c>
      <c r="K778">
        <f>YEAR(SalesData[[#This Row],[Order Date]])</f>
        <v>2025</v>
      </c>
      <c r="L778" s="3">
        <f>SalesData[[#This Row],[Profit]]/SalesData[[#This Row],[Sales]]</f>
        <v>0.12250087688530339</v>
      </c>
    </row>
    <row r="779" spans="1:12">
      <c r="A779" t="s">
        <v>1266</v>
      </c>
      <c r="B779" s="2">
        <v>45733</v>
      </c>
      <c r="C779" t="s">
        <v>1267</v>
      </c>
      <c r="D779" t="s">
        <v>32</v>
      </c>
      <c r="E779" t="s">
        <v>15</v>
      </c>
      <c r="F779" t="s">
        <v>29</v>
      </c>
      <c r="G779">
        <v>51.74</v>
      </c>
      <c r="H779">
        <v>8.41</v>
      </c>
      <c r="I779">
        <v>2</v>
      </c>
      <c r="J779" t="str">
        <f>TEXT(SalesData[[#This Row],[Order Date]],"mmm")</f>
        <v>Mar</v>
      </c>
      <c r="K779">
        <f>YEAR(SalesData[[#This Row],[Order Date]])</f>
        <v>2025</v>
      </c>
      <c r="L779" s="3">
        <f>SalesData[[#This Row],[Profit]]/SalesData[[#This Row],[Sales]]</f>
        <v>0.16254348666408969</v>
      </c>
    </row>
    <row r="780" spans="1:12">
      <c r="A780" t="s">
        <v>1268</v>
      </c>
      <c r="B780" s="2">
        <v>45946</v>
      </c>
      <c r="C780" t="s">
        <v>514</v>
      </c>
      <c r="D780" t="s">
        <v>19</v>
      </c>
      <c r="E780" t="s">
        <v>33</v>
      </c>
      <c r="F780" t="s">
        <v>52</v>
      </c>
      <c r="G780">
        <v>3497.45</v>
      </c>
      <c r="H780">
        <v>387.16</v>
      </c>
      <c r="I780">
        <v>5</v>
      </c>
      <c r="J780" t="str">
        <f>TEXT(SalesData[[#This Row],[Order Date]],"mmm")</f>
        <v>Oct</v>
      </c>
      <c r="K780">
        <f>YEAR(SalesData[[#This Row],[Order Date]])</f>
        <v>2025</v>
      </c>
      <c r="L780" s="3">
        <f>SalesData[[#This Row],[Profit]]/SalesData[[#This Row],[Sales]]</f>
        <v>0.11069779410713521</v>
      </c>
    </row>
    <row r="781" spans="1:12">
      <c r="A781" t="s">
        <v>1269</v>
      </c>
      <c r="B781" s="2">
        <v>45784</v>
      </c>
      <c r="C781" t="s">
        <v>358</v>
      </c>
      <c r="D781" t="s">
        <v>32</v>
      </c>
      <c r="E781" t="s">
        <v>37</v>
      </c>
      <c r="F781" t="s">
        <v>38</v>
      </c>
      <c r="G781">
        <v>127.41</v>
      </c>
      <c r="H781">
        <v>25.75</v>
      </c>
      <c r="I781">
        <v>3</v>
      </c>
      <c r="J781" t="str">
        <f>TEXT(SalesData[[#This Row],[Order Date]],"mmm")</f>
        <v>May</v>
      </c>
      <c r="K781">
        <f>YEAR(SalesData[[#This Row],[Order Date]])</f>
        <v>2025</v>
      </c>
      <c r="L781" s="3">
        <f>SalesData[[#This Row],[Profit]]/SalesData[[#This Row],[Sales]]</f>
        <v>0.20210344556942156</v>
      </c>
    </row>
    <row r="782" spans="1:12">
      <c r="A782" t="s">
        <v>1270</v>
      </c>
      <c r="B782" s="2">
        <v>45960</v>
      </c>
      <c r="C782" t="s">
        <v>699</v>
      </c>
      <c r="D782" t="s">
        <v>14</v>
      </c>
      <c r="E782" t="s">
        <v>15</v>
      </c>
      <c r="F782" t="s">
        <v>82</v>
      </c>
      <c r="G782">
        <v>103.08</v>
      </c>
      <c r="H782">
        <v>15.35</v>
      </c>
      <c r="I782">
        <v>4</v>
      </c>
      <c r="J782" t="str">
        <f>TEXT(SalesData[[#This Row],[Order Date]],"mmm")</f>
        <v>Oct</v>
      </c>
      <c r="K782">
        <f>YEAR(SalesData[[#This Row],[Order Date]])</f>
        <v>2025</v>
      </c>
      <c r="L782" s="3">
        <f>SalesData[[#This Row],[Profit]]/SalesData[[#This Row],[Sales]]</f>
        <v>0.14891346526969343</v>
      </c>
    </row>
    <row r="783" spans="1:12">
      <c r="A783" t="s">
        <v>1271</v>
      </c>
      <c r="B783" s="2">
        <v>45795</v>
      </c>
      <c r="C783" t="s">
        <v>1272</v>
      </c>
      <c r="D783" t="s">
        <v>14</v>
      </c>
      <c r="E783" t="s">
        <v>37</v>
      </c>
      <c r="F783" t="s">
        <v>194</v>
      </c>
      <c r="G783">
        <v>91.48</v>
      </c>
      <c r="H783">
        <v>19.190000000000001</v>
      </c>
      <c r="I783">
        <v>4</v>
      </c>
      <c r="J783" t="str">
        <f>TEXT(SalesData[[#This Row],[Order Date]],"mmm")</f>
        <v>May</v>
      </c>
      <c r="K783">
        <f>YEAR(SalesData[[#This Row],[Order Date]])</f>
        <v>2025</v>
      </c>
      <c r="L783" s="3">
        <f>SalesData[[#This Row],[Profit]]/SalesData[[#This Row],[Sales]]</f>
        <v>0.20977262789680806</v>
      </c>
    </row>
    <row r="784" spans="1:12">
      <c r="A784" t="s">
        <v>1273</v>
      </c>
      <c r="B784" s="2">
        <v>45949</v>
      </c>
      <c r="C784" t="s">
        <v>1064</v>
      </c>
      <c r="D784" t="s">
        <v>32</v>
      </c>
      <c r="E784" t="s">
        <v>41</v>
      </c>
      <c r="F784" t="s">
        <v>58</v>
      </c>
      <c r="G784">
        <v>613.74</v>
      </c>
      <c r="H784">
        <v>175.5</v>
      </c>
      <c r="I784">
        <v>3</v>
      </c>
      <c r="J784" t="str">
        <f>TEXT(SalesData[[#This Row],[Order Date]],"mmm")</f>
        <v>Oct</v>
      </c>
      <c r="K784">
        <f>YEAR(SalesData[[#This Row],[Order Date]])</f>
        <v>2025</v>
      </c>
      <c r="L784" s="3">
        <f>SalesData[[#This Row],[Profit]]/SalesData[[#This Row],[Sales]]</f>
        <v>0.2859517059341089</v>
      </c>
    </row>
    <row r="785" spans="1:12">
      <c r="A785" t="s">
        <v>1274</v>
      </c>
      <c r="B785" s="2">
        <v>45966</v>
      </c>
      <c r="C785" t="s">
        <v>523</v>
      </c>
      <c r="D785" t="s">
        <v>28</v>
      </c>
      <c r="E785" t="s">
        <v>24</v>
      </c>
      <c r="F785" t="s">
        <v>134</v>
      </c>
      <c r="G785">
        <v>268.05</v>
      </c>
      <c r="H785">
        <v>35.54</v>
      </c>
      <c r="I785">
        <v>4</v>
      </c>
      <c r="J785" t="str">
        <f>TEXT(SalesData[[#This Row],[Order Date]],"mmm")</f>
        <v>Nov</v>
      </c>
      <c r="K785">
        <f>YEAR(SalesData[[#This Row],[Order Date]])</f>
        <v>2025</v>
      </c>
      <c r="L785" s="3">
        <f>SalesData[[#This Row],[Profit]]/SalesData[[#This Row],[Sales]]</f>
        <v>0.13258720387987316</v>
      </c>
    </row>
    <row r="786" spans="1:12">
      <c r="A786" t="s">
        <v>1275</v>
      </c>
      <c r="B786" s="2">
        <v>45803</v>
      </c>
      <c r="C786" t="s">
        <v>1276</v>
      </c>
      <c r="D786" t="s">
        <v>32</v>
      </c>
      <c r="E786" t="s">
        <v>24</v>
      </c>
      <c r="F786" t="s">
        <v>88</v>
      </c>
      <c r="G786">
        <v>1716.6</v>
      </c>
      <c r="H786">
        <v>278.12</v>
      </c>
      <c r="I786">
        <v>6</v>
      </c>
      <c r="J786" t="str">
        <f>TEXT(SalesData[[#This Row],[Order Date]],"mmm")</f>
        <v>May</v>
      </c>
      <c r="K786">
        <f>YEAR(SalesData[[#This Row],[Order Date]])</f>
        <v>2025</v>
      </c>
      <c r="L786" s="3">
        <f>SalesData[[#This Row],[Profit]]/SalesData[[#This Row],[Sales]]</f>
        <v>0.16201794244436679</v>
      </c>
    </row>
    <row r="787" spans="1:12">
      <c r="A787" t="s">
        <v>1277</v>
      </c>
      <c r="B787" s="2">
        <v>45725</v>
      </c>
      <c r="C787" t="s">
        <v>1278</v>
      </c>
      <c r="D787" t="s">
        <v>14</v>
      </c>
      <c r="E787" t="s">
        <v>33</v>
      </c>
      <c r="F787" t="s">
        <v>63</v>
      </c>
      <c r="G787">
        <v>3205.84</v>
      </c>
      <c r="H787">
        <v>516.12</v>
      </c>
      <c r="I787">
        <v>4</v>
      </c>
      <c r="J787" t="str">
        <f>TEXT(SalesData[[#This Row],[Order Date]],"mmm")</f>
        <v>Mar</v>
      </c>
      <c r="K787">
        <f>YEAR(SalesData[[#This Row],[Order Date]])</f>
        <v>2025</v>
      </c>
      <c r="L787" s="3">
        <f>SalesData[[#This Row],[Profit]]/SalesData[[#This Row],[Sales]]</f>
        <v>0.16099368652209717</v>
      </c>
    </row>
    <row r="788" spans="1:12">
      <c r="A788" t="s">
        <v>1279</v>
      </c>
      <c r="B788" s="2">
        <v>45874</v>
      </c>
      <c r="C788" t="s">
        <v>340</v>
      </c>
      <c r="D788" t="s">
        <v>14</v>
      </c>
      <c r="E788" t="s">
        <v>41</v>
      </c>
      <c r="F788" t="s">
        <v>71</v>
      </c>
      <c r="G788">
        <v>725.1</v>
      </c>
      <c r="H788">
        <v>79.84</v>
      </c>
      <c r="I788">
        <v>6</v>
      </c>
      <c r="J788" t="str">
        <f>TEXT(SalesData[[#This Row],[Order Date]],"mmm")</f>
        <v>Aug</v>
      </c>
      <c r="K788">
        <f>YEAR(SalesData[[#This Row],[Order Date]])</f>
        <v>2025</v>
      </c>
      <c r="L788" s="3">
        <f>SalesData[[#This Row],[Profit]]/SalesData[[#This Row],[Sales]]</f>
        <v>0.11010895048958765</v>
      </c>
    </row>
    <row r="789" spans="1:12">
      <c r="A789" t="s">
        <v>1280</v>
      </c>
      <c r="B789" s="2">
        <v>45895</v>
      </c>
      <c r="C789" t="s">
        <v>874</v>
      </c>
      <c r="D789" t="s">
        <v>19</v>
      </c>
      <c r="E789" t="s">
        <v>37</v>
      </c>
      <c r="F789" t="s">
        <v>194</v>
      </c>
      <c r="G789">
        <v>243.6</v>
      </c>
      <c r="H789">
        <v>27.43</v>
      </c>
      <c r="I789">
        <v>6</v>
      </c>
      <c r="J789" t="str">
        <f>TEXT(SalesData[[#This Row],[Order Date]],"mmm")</f>
        <v>Aug</v>
      </c>
      <c r="K789">
        <f>YEAR(SalesData[[#This Row],[Order Date]])</f>
        <v>2025</v>
      </c>
      <c r="L789" s="3">
        <f>SalesData[[#This Row],[Profit]]/SalesData[[#This Row],[Sales]]</f>
        <v>0.11260262725779967</v>
      </c>
    </row>
    <row r="790" spans="1:12">
      <c r="A790" t="s">
        <v>1281</v>
      </c>
      <c r="B790" s="2">
        <v>45698</v>
      </c>
      <c r="C790" t="s">
        <v>258</v>
      </c>
      <c r="D790" t="s">
        <v>14</v>
      </c>
      <c r="E790" t="s">
        <v>15</v>
      </c>
      <c r="F790" t="s">
        <v>16</v>
      </c>
      <c r="G790">
        <v>165.42</v>
      </c>
      <c r="H790">
        <v>29.15</v>
      </c>
      <c r="I790">
        <v>6</v>
      </c>
      <c r="J790" t="str">
        <f>TEXT(SalesData[[#This Row],[Order Date]],"mmm")</f>
        <v>Feb</v>
      </c>
      <c r="K790">
        <f>YEAR(SalesData[[#This Row],[Order Date]])</f>
        <v>2025</v>
      </c>
      <c r="L790" s="3">
        <f>SalesData[[#This Row],[Profit]]/SalesData[[#This Row],[Sales]]</f>
        <v>0.17621811147382421</v>
      </c>
    </row>
    <row r="791" spans="1:12">
      <c r="A791" t="s">
        <v>1282</v>
      </c>
      <c r="B791" s="2">
        <v>45809</v>
      </c>
      <c r="C791" t="s">
        <v>464</v>
      </c>
      <c r="D791" t="s">
        <v>23</v>
      </c>
      <c r="E791" t="s">
        <v>15</v>
      </c>
      <c r="F791" t="s">
        <v>82</v>
      </c>
      <c r="G791">
        <v>38.450000000000003</v>
      </c>
      <c r="H791">
        <v>4.37</v>
      </c>
      <c r="I791">
        <v>5</v>
      </c>
      <c r="J791" t="str">
        <f>TEXT(SalesData[[#This Row],[Order Date]],"mmm")</f>
        <v>Jun</v>
      </c>
      <c r="K791">
        <f>YEAR(SalesData[[#This Row],[Order Date]])</f>
        <v>2025</v>
      </c>
      <c r="L791" s="3">
        <f>SalesData[[#This Row],[Profit]]/SalesData[[#This Row],[Sales]]</f>
        <v>0.11365409622886866</v>
      </c>
    </row>
    <row r="792" spans="1:12">
      <c r="A792" t="s">
        <v>1283</v>
      </c>
      <c r="B792" s="2">
        <v>45996</v>
      </c>
      <c r="C792" t="s">
        <v>454</v>
      </c>
      <c r="D792" t="s">
        <v>14</v>
      </c>
      <c r="E792" t="s">
        <v>24</v>
      </c>
      <c r="F792" t="s">
        <v>55</v>
      </c>
      <c r="G792">
        <v>302.35000000000002</v>
      </c>
      <c r="H792">
        <v>75.010000000000005</v>
      </c>
      <c r="I792">
        <v>1</v>
      </c>
      <c r="J792" t="str">
        <f>TEXT(SalesData[[#This Row],[Order Date]],"mmm")</f>
        <v>Dec</v>
      </c>
      <c r="K792">
        <f>YEAR(SalesData[[#This Row],[Order Date]])</f>
        <v>2025</v>
      </c>
      <c r="L792" s="3">
        <f>SalesData[[#This Row],[Profit]]/SalesData[[#This Row],[Sales]]</f>
        <v>0.24808996196461056</v>
      </c>
    </row>
    <row r="793" spans="1:12">
      <c r="A793" t="s">
        <v>1284</v>
      </c>
      <c r="B793" s="2">
        <v>45751</v>
      </c>
      <c r="C793" t="s">
        <v>937</v>
      </c>
      <c r="D793" t="s">
        <v>32</v>
      </c>
      <c r="E793" t="s">
        <v>15</v>
      </c>
      <c r="F793" t="s">
        <v>29</v>
      </c>
      <c r="G793">
        <v>59.04</v>
      </c>
      <c r="H793">
        <v>6.98</v>
      </c>
      <c r="I793">
        <v>3</v>
      </c>
      <c r="J793" t="str">
        <f>TEXT(SalesData[[#This Row],[Order Date]],"mmm")</f>
        <v>Apr</v>
      </c>
      <c r="K793">
        <f>YEAR(SalesData[[#This Row],[Order Date]])</f>
        <v>2025</v>
      </c>
      <c r="L793" s="3">
        <f>SalesData[[#This Row],[Profit]]/SalesData[[#This Row],[Sales]]</f>
        <v>0.1182249322493225</v>
      </c>
    </row>
    <row r="794" spans="1:12">
      <c r="A794" t="s">
        <v>1285</v>
      </c>
      <c r="B794" s="2">
        <v>45977</v>
      </c>
      <c r="C794" t="s">
        <v>618</v>
      </c>
      <c r="D794" t="s">
        <v>14</v>
      </c>
      <c r="E794" t="s">
        <v>37</v>
      </c>
      <c r="F794" t="s">
        <v>85</v>
      </c>
      <c r="G794">
        <v>40.200000000000003</v>
      </c>
      <c r="H794">
        <v>7.66</v>
      </c>
      <c r="I794">
        <v>2</v>
      </c>
      <c r="J794" t="str">
        <f>TEXT(SalesData[[#This Row],[Order Date]],"mmm")</f>
        <v>Nov</v>
      </c>
      <c r="K794">
        <f>YEAR(SalesData[[#This Row],[Order Date]])</f>
        <v>2025</v>
      </c>
      <c r="L794" s="3">
        <f>SalesData[[#This Row],[Profit]]/SalesData[[#This Row],[Sales]]</f>
        <v>0.19054726368159203</v>
      </c>
    </row>
    <row r="795" spans="1:12">
      <c r="A795" t="s">
        <v>1286</v>
      </c>
      <c r="B795" s="2">
        <v>45712</v>
      </c>
      <c r="C795" t="s">
        <v>472</v>
      </c>
      <c r="D795" t="s">
        <v>32</v>
      </c>
      <c r="E795" t="s">
        <v>15</v>
      </c>
      <c r="F795" t="s">
        <v>82</v>
      </c>
      <c r="G795">
        <v>9.2899999999999991</v>
      </c>
      <c r="H795">
        <v>1.1299999999999999</v>
      </c>
      <c r="I795">
        <v>1</v>
      </c>
      <c r="J795" t="str">
        <f>TEXT(SalesData[[#This Row],[Order Date]],"mmm")</f>
        <v>Feb</v>
      </c>
      <c r="K795">
        <f>YEAR(SalesData[[#This Row],[Order Date]])</f>
        <v>2025</v>
      </c>
      <c r="L795" s="3">
        <f>SalesData[[#This Row],[Profit]]/SalesData[[#This Row],[Sales]]</f>
        <v>0.1216361679224973</v>
      </c>
    </row>
    <row r="796" spans="1:12">
      <c r="A796" t="s">
        <v>1287</v>
      </c>
      <c r="B796" s="2">
        <v>45994</v>
      </c>
      <c r="C796" t="s">
        <v>1288</v>
      </c>
      <c r="D796" t="s">
        <v>28</v>
      </c>
      <c r="E796" t="s">
        <v>24</v>
      </c>
      <c r="F796" t="s">
        <v>55</v>
      </c>
      <c r="G796">
        <v>1033.04</v>
      </c>
      <c r="H796">
        <v>242.79</v>
      </c>
      <c r="I796">
        <v>3</v>
      </c>
      <c r="J796" t="str">
        <f>TEXT(SalesData[[#This Row],[Order Date]],"mmm")</f>
        <v>Dec</v>
      </c>
      <c r="K796">
        <f>YEAR(SalesData[[#This Row],[Order Date]])</f>
        <v>2025</v>
      </c>
      <c r="L796" s="3">
        <f>SalesData[[#This Row],[Profit]]/SalesData[[#This Row],[Sales]]</f>
        <v>0.23502478122821963</v>
      </c>
    </row>
    <row r="797" spans="1:12">
      <c r="A797" t="s">
        <v>1289</v>
      </c>
      <c r="B797" s="2">
        <v>45702</v>
      </c>
      <c r="C797" t="s">
        <v>1290</v>
      </c>
      <c r="D797" t="s">
        <v>32</v>
      </c>
      <c r="E797" t="s">
        <v>15</v>
      </c>
      <c r="F797" t="s">
        <v>82</v>
      </c>
      <c r="G797">
        <v>175.56</v>
      </c>
      <c r="H797">
        <v>31.4</v>
      </c>
      <c r="I797">
        <v>6</v>
      </c>
      <c r="J797" t="str">
        <f>TEXT(SalesData[[#This Row],[Order Date]],"mmm")</f>
        <v>Feb</v>
      </c>
      <c r="K797">
        <f>YEAR(SalesData[[#This Row],[Order Date]])</f>
        <v>2025</v>
      </c>
      <c r="L797" s="3">
        <f>SalesData[[#This Row],[Profit]]/SalesData[[#This Row],[Sales]]</f>
        <v>0.17885623148781044</v>
      </c>
    </row>
    <row r="798" spans="1:12">
      <c r="A798" t="s">
        <v>1291</v>
      </c>
      <c r="B798" s="2">
        <v>45990</v>
      </c>
      <c r="C798" t="s">
        <v>1229</v>
      </c>
      <c r="D798" t="s">
        <v>28</v>
      </c>
      <c r="E798" t="s">
        <v>41</v>
      </c>
      <c r="F798" t="s">
        <v>68</v>
      </c>
      <c r="G798">
        <v>118.11</v>
      </c>
      <c r="H798">
        <v>16.190000000000001</v>
      </c>
      <c r="I798">
        <v>2</v>
      </c>
      <c r="J798" t="str">
        <f>TEXT(SalesData[[#This Row],[Order Date]],"mmm")</f>
        <v>Nov</v>
      </c>
      <c r="K798">
        <f>YEAR(SalesData[[#This Row],[Order Date]])</f>
        <v>2025</v>
      </c>
      <c r="L798" s="3">
        <f>SalesData[[#This Row],[Profit]]/SalesData[[#This Row],[Sales]]</f>
        <v>0.13707560748454831</v>
      </c>
    </row>
    <row r="799" spans="1:12">
      <c r="A799" t="s">
        <v>1292</v>
      </c>
      <c r="B799" s="2">
        <v>45717</v>
      </c>
      <c r="C799" t="s">
        <v>499</v>
      </c>
      <c r="D799" t="s">
        <v>28</v>
      </c>
      <c r="E799" t="s">
        <v>37</v>
      </c>
      <c r="F799" t="s">
        <v>155</v>
      </c>
      <c r="G799">
        <v>52.29</v>
      </c>
      <c r="H799">
        <v>9.82</v>
      </c>
      <c r="I799">
        <v>1</v>
      </c>
      <c r="J799" t="str">
        <f>TEXT(SalesData[[#This Row],[Order Date]],"mmm")</f>
        <v>Mar</v>
      </c>
      <c r="K799">
        <f>YEAR(SalesData[[#This Row],[Order Date]])</f>
        <v>2025</v>
      </c>
      <c r="L799" s="3">
        <f>SalesData[[#This Row],[Profit]]/SalesData[[#This Row],[Sales]]</f>
        <v>0.18779881430483841</v>
      </c>
    </row>
    <row r="800" spans="1:12">
      <c r="A800" t="s">
        <v>1293</v>
      </c>
      <c r="B800" s="2">
        <v>45949</v>
      </c>
      <c r="C800" t="s">
        <v>937</v>
      </c>
      <c r="D800" t="s">
        <v>32</v>
      </c>
      <c r="E800" t="s">
        <v>24</v>
      </c>
      <c r="F800" t="s">
        <v>25</v>
      </c>
      <c r="G800">
        <v>1798.32</v>
      </c>
      <c r="H800">
        <v>335.13</v>
      </c>
      <c r="I800">
        <v>6</v>
      </c>
      <c r="J800" t="str">
        <f>TEXT(SalesData[[#This Row],[Order Date]],"mmm")</f>
        <v>Oct</v>
      </c>
      <c r="K800">
        <f>YEAR(SalesData[[#This Row],[Order Date]])</f>
        <v>2025</v>
      </c>
      <c r="L800" s="3">
        <f>SalesData[[#This Row],[Profit]]/SalesData[[#This Row],[Sales]]</f>
        <v>0.18635726678233017</v>
      </c>
    </row>
    <row r="801" spans="1:12">
      <c r="A801" t="s">
        <v>1294</v>
      </c>
      <c r="B801" s="2">
        <v>45911</v>
      </c>
      <c r="C801" t="s">
        <v>454</v>
      </c>
      <c r="D801" t="s">
        <v>23</v>
      </c>
      <c r="E801" t="s">
        <v>41</v>
      </c>
      <c r="F801" t="s">
        <v>58</v>
      </c>
      <c r="G801">
        <v>134.69</v>
      </c>
      <c r="H801">
        <v>29.84</v>
      </c>
      <c r="I801">
        <v>1</v>
      </c>
      <c r="J801" t="str">
        <f>TEXT(SalesData[[#This Row],[Order Date]],"mmm")</f>
        <v>Sep</v>
      </c>
      <c r="K801">
        <f>YEAR(SalesData[[#This Row],[Order Date]])</f>
        <v>2025</v>
      </c>
      <c r="L801" s="3">
        <f>SalesData[[#This Row],[Profit]]/SalesData[[#This Row],[Sales]]</f>
        <v>0.22154577177221768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D18" sqref="D18"/>
    </sheetView>
  </sheetViews>
  <sheetFormatPr defaultRowHeight="14.45"/>
  <cols>
    <col min="1" max="1" width="11.42578125" bestFit="1" customWidth="1"/>
    <col min="2" max="2" width="12.140625" bestFit="1" customWidth="1"/>
    <col min="4" max="4" width="11.42578125" bestFit="1" customWidth="1"/>
    <col min="5" max="5" width="12.140625" bestFit="1" customWidth="1"/>
    <col min="7" max="7" width="21" bestFit="1" customWidth="1"/>
    <col min="8" max="8" width="12.140625" bestFit="1" customWidth="1"/>
  </cols>
  <sheetData>
    <row r="1" spans="1:8">
      <c r="A1" s="4" t="s">
        <v>9</v>
      </c>
      <c r="B1" t="s">
        <v>1295</v>
      </c>
      <c r="D1" s="4" t="s">
        <v>4</v>
      </c>
      <c r="E1" t="s">
        <v>1296</v>
      </c>
      <c r="G1" s="4" t="s">
        <v>5</v>
      </c>
      <c r="H1" t="s">
        <v>1295</v>
      </c>
    </row>
    <row r="2" spans="1:8">
      <c r="A2" t="s">
        <v>1297</v>
      </c>
      <c r="B2">
        <v>25573.780000000002</v>
      </c>
      <c r="D2" t="s">
        <v>41</v>
      </c>
      <c r="E2">
        <v>21097.950000000004</v>
      </c>
      <c r="G2" t="s">
        <v>63</v>
      </c>
      <c r="H2">
        <v>62003.869999999995</v>
      </c>
    </row>
    <row r="3" spans="1:8">
      <c r="A3" t="s">
        <v>1298</v>
      </c>
      <c r="B3">
        <v>24214.870000000003</v>
      </c>
      <c r="D3" t="s">
        <v>24</v>
      </c>
      <c r="E3">
        <v>19652.779999999992</v>
      </c>
      <c r="G3" t="s">
        <v>308</v>
      </c>
      <c r="H3">
        <v>48545.39</v>
      </c>
    </row>
    <row r="4" spans="1:8">
      <c r="A4" t="s">
        <v>1299</v>
      </c>
      <c r="B4">
        <v>35886.310000000012</v>
      </c>
      <c r="D4" t="s">
        <v>15</v>
      </c>
      <c r="E4">
        <v>1453.1200000000003</v>
      </c>
      <c r="G4" t="s">
        <v>34</v>
      </c>
      <c r="H4">
        <v>46083.21</v>
      </c>
    </row>
    <row r="5" spans="1:8">
      <c r="A5" t="s">
        <v>1300</v>
      </c>
      <c r="B5">
        <v>25425.940000000002</v>
      </c>
      <c r="D5" t="s">
        <v>33</v>
      </c>
      <c r="E5">
        <v>35902.280000000006</v>
      </c>
      <c r="G5" t="s">
        <v>170</v>
      </c>
      <c r="H5">
        <v>36397.019999999997</v>
      </c>
    </row>
    <row r="6" spans="1:8">
      <c r="A6" t="s">
        <v>1301</v>
      </c>
      <c r="B6">
        <v>43892.69</v>
      </c>
      <c r="D6" t="s">
        <v>37</v>
      </c>
      <c r="E6">
        <v>2348.1699999999996</v>
      </c>
      <c r="G6" t="s">
        <v>52</v>
      </c>
      <c r="H6">
        <v>35278.579999999994</v>
      </c>
    </row>
    <row r="7" spans="1:8">
      <c r="A7" t="s">
        <v>1302</v>
      </c>
      <c r="B7">
        <v>49093.560000000005</v>
      </c>
      <c r="D7" t="s">
        <v>1303</v>
      </c>
      <c r="E7">
        <v>80454.3</v>
      </c>
      <c r="G7" t="s">
        <v>25</v>
      </c>
      <c r="H7">
        <v>26344.94</v>
      </c>
    </row>
    <row r="8" spans="1:8">
      <c r="A8" t="s">
        <v>1304</v>
      </c>
      <c r="B8">
        <v>22455.930000000008</v>
      </c>
      <c r="G8" t="s">
        <v>88</v>
      </c>
      <c r="H8">
        <v>23304.059999999998</v>
      </c>
    </row>
    <row r="9" spans="1:8">
      <c r="A9" t="s">
        <v>1305</v>
      </c>
      <c r="B9">
        <v>34129.719999999994</v>
      </c>
      <c r="D9" s="4" t="s">
        <v>3</v>
      </c>
      <c r="E9" t="s">
        <v>1295</v>
      </c>
      <c r="G9" t="s">
        <v>42</v>
      </c>
      <c r="H9">
        <v>22730.899999999994</v>
      </c>
    </row>
    <row r="10" spans="1:8">
      <c r="A10" t="s">
        <v>1306</v>
      </c>
      <c r="B10">
        <v>48381.09</v>
      </c>
      <c r="D10" t="s">
        <v>28</v>
      </c>
      <c r="E10">
        <v>85842.059999999983</v>
      </c>
      <c r="G10" t="s">
        <v>71</v>
      </c>
      <c r="H10">
        <v>21055.61</v>
      </c>
    </row>
    <row r="11" spans="1:8">
      <c r="A11" t="s">
        <v>1307</v>
      </c>
      <c r="B11">
        <v>40986.35</v>
      </c>
      <c r="D11" t="s">
        <v>14</v>
      </c>
      <c r="E11">
        <v>103199.84999999999</v>
      </c>
      <c r="G11" t="s">
        <v>55</v>
      </c>
      <c r="H11">
        <v>19469.46</v>
      </c>
    </row>
    <row r="12" spans="1:8">
      <c r="A12" t="s">
        <v>1308</v>
      </c>
      <c r="B12">
        <v>48131.139999999978</v>
      </c>
      <c r="D12" t="s">
        <v>23</v>
      </c>
      <c r="E12">
        <v>111825.51000000007</v>
      </c>
      <c r="G12" t="s">
        <v>1303</v>
      </c>
      <c r="H12">
        <v>341213.04000000004</v>
      </c>
    </row>
    <row r="13" spans="1:8">
      <c r="A13" t="s">
        <v>1309</v>
      </c>
      <c r="B13">
        <v>58449.5</v>
      </c>
      <c r="D13" t="s">
        <v>19</v>
      </c>
      <c r="E13">
        <v>77209.470000000016</v>
      </c>
    </row>
    <row r="14" spans="1:8">
      <c r="A14" t="s">
        <v>1303</v>
      </c>
      <c r="B14">
        <v>456620.87999999995</v>
      </c>
      <c r="D14" t="s">
        <v>32</v>
      </c>
      <c r="E14">
        <v>78543.990000000005</v>
      </c>
    </row>
    <row r="15" spans="1:8">
      <c r="D15" t="s">
        <v>1303</v>
      </c>
      <c r="E15">
        <v>456620.88000000006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40"/>
  <sheetViews>
    <sheetView tabSelected="1" topLeftCell="A33" workbookViewId="0">
      <selection activeCell="J37" sqref="J37"/>
    </sheetView>
  </sheetViews>
  <sheetFormatPr defaultRowHeight="14.45"/>
  <cols>
    <col min="1" max="1" width="15.140625" bestFit="1" customWidth="1"/>
    <col min="2" max="2" width="36.5703125" bestFit="1" customWidth="1"/>
    <col min="10" max="10" width="36.5703125" bestFit="1" customWidth="1"/>
    <col min="22" max="22" width="11.140625" bestFit="1" customWidth="1"/>
  </cols>
  <sheetData>
    <row r="2" spans="1:2" ht="26.1">
      <c r="A2" s="9" t="s">
        <v>1310</v>
      </c>
      <c r="B2" s="5">
        <f>SUM(SalesData[Sales])</f>
        <v>456620.87999999966</v>
      </c>
    </row>
    <row r="3" spans="1:2" ht="26.1">
      <c r="A3" s="9" t="s">
        <v>1311</v>
      </c>
      <c r="B3" s="5">
        <f>SUM(SalesData[Profit])</f>
        <v>80454.3</v>
      </c>
    </row>
    <row r="4" spans="1:2" ht="26.1">
      <c r="A4" s="9" t="s">
        <v>1312</v>
      </c>
      <c r="B4" s="6">
        <f>COUNTA(SalesData[Order ID])</f>
        <v>800</v>
      </c>
    </row>
    <row r="5" spans="1:2" ht="26.1">
      <c r="A5" s="9" t="s">
        <v>1313</v>
      </c>
      <c r="B5" s="7">
        <f>SUM(SalesData[Sales])/COUNTA(SalesData[Order ID])</f>
        <v>570.77609999999959</v>
      </c>
    </row>
    <row r="6" spans="1:2" ht="26.1">
      <c r="A6" s="9" t="s">
        <v>1314</v>
      </c>
      <c r="B6" s="8">
        <f>SUM(SalesData[Profit])/SUM(SalesData[Sales])</f>
        <v>0.17619496506598661</v>
      </c>
    </row>
    <row r="34" spans="10:10" ht="18.600000000000001">
      <c r="J34" s="10"/>
    </row>
    <row r="36" spans="10:10" ht="18.600000000000001">
      <c r="J36" s="11" t="s">
        <v>1315</v>
      </c>
    </row>
    <row r="37" spans="10:10" ht="36.950000000000003">
      <c r="J37" s="12" t="s">
        <v>1316</v>
      </c>
    </row>
    <row r="38" spans="10:10" ht="36.950000000000003">
      <c r="J38" s="14" t="s">
        <v>1317</v>
      </c>
    </row>
    <row r="39" spans="10:10" ht="36.950000000000003">
      <c r="J39" s="14" t="s">
        <v>1318</v>
      </c>
    </row>
    <row r="40" spans="10:10" ht="29.1">
      <c r="J40" s="13" t="s">
        <v>1319</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2026-07-06T04:30:27Z</dcterms:created>
  <dcterms:modified xsi:type="dcterms:W3CDTF">2026-07-08T06:03:05Z</dcterms:modified>
  <cp:category/>
  <cp:contentStatus/>
</cp:coreProperties>
</file>